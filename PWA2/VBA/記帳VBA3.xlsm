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mile\Downloads\網頁設計\Expense\PWA_多人\PWA2\"/>
    </mc:Choice>
  </mc:AlternateContent>
  <xr:revisionPtr revIDLastSave="0" documentId="13_ncr:1_{2D8F8AA4-69EA-49C1-972B-DA214F9BB3AC}" xr6:coauthVersionLast="47" xr6:coauthVersionMax="47" xr10:uidLastSave="{00000000-0000-0000-0000-000000000000}"/>
  <bookViews>
    <workbookView xWindow="-120" yWindow="-120" windowWidth="29040" windowHeight="15840" firstSheet="2" activeTab="6" xr2:uid="{0F62F40F-2940-40F7-9E06-81750AD34089}"/>
  </bookViews>
  <sheets>
    <sheet name="Sys_DB_Expenses" sheetId="98" state="hidden" r:id="rId1"/>
    <sheet name="Sys_DB_Wallets" sheetId="99" state="hidden" r:id="rId2"/>
    <sheet name="記帳分類指南" sheetId="391" r:id="rId3"/>
    <sheet name="指揮中心" sheetId="144" r:id="rId4"/>
    <sheet name="Raw_Expenses" sheetId="406" r:id="rId5"/>
    <sheet name="Raw_Wallets" sheetId="407" r:id="rId6"/>
    <sheet name="Group_Details" sheetId="40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408" l="1"/>
  <c r="Q7" i="408"/>
  <c r="J10" i="408"/>
  <c r="H10" i="408"/>
  <c r="L10" i="408"/>
</calcChain>
</file>

<file path=xl/sharedStrings.xml><?xml version="1.0" encoding="utf-8"?>
<sst xmlns="http://schemas.openxmlformats.org/spreadsheetml/2006/main" count="339" uniqueCount="159">
  <si>
    <t>expenseId</t>
  </si>
  <si>
    <t>date</t>
  </si>
  <si>
    <t>category</t>
  </si>
  <si>
    <t>description</t>
  </si>
  <si>
    <t>amount</t>
  </si>
  <si>
    <t>currency</t>
  </si>
  <si>
    <t>appliedRate</t>
  </si>
  <si>
    <t>twdEquivalent</t>
  </si>
  <si>
    <t>payerUID</t>
  </si>
  <si>
    <t>shares</t>
  </si>
  <si>
    <t>paymentMethod</t>
  </si>
  <si>
    <t>walletId</t>
  </si>
  <si>
    <t>notes</t>
  </si>
  <si>
    <t>shareCount</t>
  </si>
  <si>
    <t>e177132006101941hq</t>
  </si>
  <si>
    <t>food</t>
  </si>
  <si>
    <t>火車票</t>
  </si>
  <si>
    <t>EUR</t>
  </si>
  <si>
    <t>u001</t>
  </si>
  <si>
    <t>u001|u002|u003</t>
  </si>
  <si>
    <t>credit</t>
  </si>
  <si>
    <t>e1771319666919vulk</t>
  </si>
  <si>
    <t>ticket</t>
  </si>
  <si>
    <t>印加古道</t>
  </si>
  <si>
    <t>USD</t>
  </si>
  <si>
    <t>u002</t>
  </si>
  <si>
    <t>u001|u002</t>
  </si>
  <si>
    <t>e17713196196831l0s</t>
  </si>
  <si>
    <t>登山團</t>
  </si>
  <si>
    <t>e1770695268320tf8p</t>
  </si>
  <si>
    <t>stay</t>
  </si>
  <si>
    <t>司</t>
  </si>
  <si>
    <t>JPY</t>
  </si>
  <si>
    <t>u004</t>
  </si>
  <si>
    <t>cash</t>
  </si>
  <si>
    <t>w1770695234668</t>
  </si>
  <si>
    <t>e1770695254451094h</t>
  </si>
  <si>
    <t>景</t>
  </si>
  <si>
    <t>e17706951607245owd</t>
  </si>
  <si>
    <t>央</t>
  </si>
  <si>
    <t>w1770695130028</t>
  </si>
  <si>
    <t>e17706951478926kvn</t>
  </si>
  <si>
    <t>縮</t>
  </si>
  <si>
    <t>e177069510280038cn</t>
  </si>
  <si>
    <t>個</t>
  </si>
  <si>
    <t>ownerUID</t>
  </si>
  <si>
    <t>originalAmount</t>
  </si>
  <si>
    <t>balance</t>
  </si>
  <si>
    <t>rate</t>
  </si>
  <si>
    <t>createdAt</t>
  </si>
  <si>
    <t>2026-02-10T03:45:30.028Z</t>
  </si>
  <si>
    <t>2026-02-10T03:47:14.668Z</t>
  </si>
  <si>
    <t>日期</t>
  </si>
  <si>
    <t>描述</t>
  </si>
  <si>
    <t>方式</t>
  </si>
  <si>
    <t>原幣</t>
  </si>
  <si>
    <t>匯率</t>
  </si>
  <si>
    <t>台幣總額</t>
  </si>
  <si>
    <t>每人應攤</t>
  </si>
  <si>
    <t>合計</t>
  </si>
  <si>
    <t>屬性</t>
  </si>
  <si>
    <t>幫人代墊</t>
  </si>
  <si>
    <t>🐬 Smile</t>
  </si>
  <si>
    <t>🍔 Shared</t>
  </si>
  <si>
    <t>公款支付</t>
  </si>
  <si>
    <t>JPY 總計</t>
  </si>
  <si>
    <t>USD 總計</t>
  </si>
  <si>
    <t>TWD 總負擔</t>
  </si>
  <si>
    <t>原幣額</t>
  </si>
  <si>
    <t>w1771383644138</t>
  </si>
  <si>
    <t>w1771383765050</t>
  </si>
  <si>
    <t>吃大餐</t>
  </si>
  <si>
    <t>e1771383786858tg84</t>
  </si>
  <si>
    <t>gear</t>
  </si>
  <si>
    <t>2026-02-18T03:00:44.138Z</t>
  </si>
  <si>
    <t>2026-02-18T03:02:45.050Z</t>
  </si>
  <si>
    <r>
      <rPr>
        <sz val="16"/>
        <color theme="1"/>
        <rFont val="Iansui"/>
        <family val="3"/>
        <charset val="136"/>
      </rPr>
      <t>類別</t>
    </r>
  </si>
  <si>
    <r>
      <rPr>
        <sz val="16"/>
        <color theme="1"/>
        <rFont val="Iansui"/>
        <family val="3"/>
        <charset val="136"/>
      </rPr>
      <t>支付者</t>
    </r>
  </si>
  <si>
    <r>
      <rPr>
        <sz val="16"/>
        <color theme="1"/>
        <rFont val="Iansui"/>
        <family val="3"/>
        <charset val="136"/>
      </rPr>
      <t>分攤名單</t>
    </r>
  </si>
  <si>
    <t>總金額</t>
  </si>
  <si>
    <t>佔比 (%)</t>
  </si>
  <si>
    <t>🌻 Jiani</t>
  </si>
  <si>
    <t>🐬 Smile, 🌻 Jiani, ⚽ Nomad</t>
  </si>
  <si>
    <t>🐬 Smile, 🌻 Jiani</t>
  </si>
  <si>
    <t>🍴 餐飲</t>
  </si>
  <si>
    <t>🎫 機票</t>
  </si>
  <si>
    <t>🏠 住宿</t>
  </si>
  <si>
    <r>
      <t xml:space="preserve">🍴 </t>
    </r>
    <r>
      <rPr>
        <sz val="16"/>
        <color theme="1"/>
        <rFont val="Iansui"/>
        <family val="3"/>
        <charset val="136"/>
      </rPr>
      <t>餐飲</t>
    </r>
  </si>
  <si>
    <r>
      <t xml:space="preserve">🏠 </t>
    </r>
    <r>
      <rPr>
        <sz val="16"/>
        <color theme="1"/>
        <rFont val="Iansui"/>
        <family val="3"/>
        <charset val="136"/>
      </rPr>
      <t>住宿</t>
    </r>
  </si>
  <si>
    <t>✈️ 歐洲旅遊共同記帳分類指南 (8大類別)</t>
  </si>
  <si>
    <t>類別與圖示</t>
  </si>
  <si>
    <t>大方向說明 (適用情境)</t>
  </si>
  <si>
    <t>常見具體項目 (輸入範例)</t>
  </si>
  <si>
    <t>記帳小提醒 (防呆指南)</t>
  </si>
  <si>
    <t>外食、餐廳、咖啡廳、路邊攤</t>
  </si>
  <si>
    <t>餐廳午晚餐、Cafe Sperl 咖啡甜點、冰淇淋、熱狗堡、酒吧喝酒。</t>
  </si>
  <si>
    <t>🚄 交通</t>
  </si>
  <si>
    <t>跨國移動、市內通勤、短程接駁</t>
  </si>
  <si>
    <t>OEBB跨國火車、FlixBus長途巴士、Regiojet、地鐵票、公車票、Uber、計程車。</t>
  </si>
  <si>
    <t>睡覺的地方及相關附加費用</t>
  </si>
  <si>
    <t>Airbnb 總價、飯店住宿費、青年旅館、當地城市稅 (City Tax)、清潔費。</t>
  </si>
  <si>
    <t>💡 訂房網或現場支付的「城市稅」通常是一起算的，請直接合併記在住宿即可。</t>
  </si>
  <si>
    <t>飛行相關的所有開銷</t>
  </si>
  <si>
    <t>台灣來回歐洲大段機票、歐洲內陸航段 (如 Ryanair)、加購行李費、選位費。</t>
  </si>
  <si>
    <t>💡 這是整趟旅程最大筆的單一支出，獨立出來方便日後檢討預算。</t>
  </si>
  <si>
    <t>🛒 超市</t>
  </si>
  <si>
    <t>量販店、超商的日常綜合採買</t>
  </si>
  <si>
    <t>SPAR、Lidl、Billa、Aldi 等超市買的瓶裝水、零食、泡麵、自炊生鮮食材。</t>
  </si>
  <si>
    <t>🎁 活動</t>
  </si>
  <si>
    <t>門票、娛樂體驗、伴手禮與紀念品</t>
  </si>
  <si>
    <t>塞切尼溫泉門票、皇宮/博物館參觀費、導覽費、買給家人的紀念品、明信片。</t>
  </si>
  <si>
    <t>💡 因為圖示是「禮物🎁」，所以除了「體驗行程」外，買來送人或紀念的物品也歸這裡。</t>
  </si>
  <si>
    <t>🧦 裝備</t>
  </si>
  <si>
    <t>出國前準備、旅行必需品 (通常在台灣就買好)</t>
  </si>
  <si>
    <t>旅遊平安/不便險、申根簽證、網卡(eSIM)、新買的背包、發熱衣、常備藥品。</t>
  </si>
  <si>
    <t>💡 主要是「行前開銷」，這些雖然不在當地花，但也是為了這趟旅行產生的費用。</t>
  </si>
  <si>
    <t>📦 雜支</t>
  </si>
  <si>
    <t>行政費用、手續費、或是真的不知道怎麼分的</t>
  </si>
  <si>
    <t>刷卡手續費、跨國提款手續費、匯差、付費廁所零錢、車站行李寄物櫃。</t>
  </si>
  <si>
    <t>💡 記帳遇到「選擇障礙」時的救星。只要不屬於上面 7 類的零星小花費，都丟這裡！</t>
  </si>
  <si>
    <t>💡 給旅伴的「記帳三秒原則」建議 (可以直接傳到群組)：</t>
  </si>
  <si>
    <r>
      <t>這是一份專門為你和旅伴們準備的</t>
    </r>
    <r>
      <rPr>
        <b/>
        <sz val="18"/>
        <color rgb="FF1F1F1F"/>
        <rFont val="Iansui"/>
        <family val="3"/>
        <charset val="136"/>
      </rPr>
      <t>「共同記帳分類指南」</t>
    </r>
    <r>
      <rPr>
        <sz val="18"/>
        <color rgb="FF1F1F1F"/>
        <rFont val="Iansui"/>
        <family val="3"/>
        <charset val="136"/>
      </rPr>
      <t>。我把說明寫得很具體，並加上了「易混淆提醒」，這樣大家在記帳時就不會猶豫不決了！</t>
    </r>
  </si>
  <si>
    <r>
      <t>你可以直接將下方的表格</t>
    </r>
    <r>
      <rPr>
        <b/>
        <sz val="18"/>
        <color rgb="FF1F1F1F"/>
        <rFont val="Iansui"/>
        <family val="3"/>
        <charset val="136"/>
      </rPr>
      <t>反白複製，然後貼上到 Excel 裡</t>
    </r>
    <r>
      <rPr>
        <sz val="18"/>
        <color rgb="FF1F1F1F"/>
        <rFont val="Iansui"/>
        <family val="3"/>
        <charset val="136"/>
      </rPr>
      <t>，它會自動對齊成完美的表格格式，非常方便分享給旅伴：</t>
    </r>
  </si>
  <si>
    <r>
      <t xml:space="preserve">💡 </t>
    </r>
    <r>
      <rPr>
        <b/>
        <sz val="18"/>
        <color rgb="FF1F1F1F"/>
        <rFont val="Iansui"/>
        <family val="3"/>
        <charset val="136"/>
      </rPr>
      <t>注意</t>
    </r>
    <r>
      <rPr>
        <sz val="18"/>
        <color rgb="FF1F1F1F"/>
        <rFont val="Iansui"/>
        <family val="3"/>
        <charset val="136"/>
      </rPr>
      <t>：如果是去超市買肉、買菜回 Airbnb 自己煮，請記在「超市」類，不要記在餐飲喔！</t>
    </r>
  </si>
  <si>
    <r>
      <t xml:space="preserve">💡 </t>
    </r>
    <r>
      <rPr>
        <b/>
        <sz val="18"/>
        <color rgb="FF1F1F1F"/>
        <rFont val="Iansui"/>
        <family val="3"/>
        <charset val="136"/>
      </rPr>
      <t>注意</t>
    </r>
    <r>
      <rPr>
        <sz val="18"/>
        <color rgb="FF1F1F1F"/>
        <rFont val="Iansui"/>
        <family val="3"/>
        <charset val="136"/>
      </rPr>
      <t>：飛機不算在這裡。所有的陸上與水上移動、當地交通卡都算此類。</t>
    </r>
  </si>
  <si>
    <r>
      <t xml:space="preserve">💡 </t>
    </r>
    <r>
      <rPr>
        <b/>
        <sz val="18"/>
        <color rgb="FF1F1F1F"/>
        <rFont val="Iansui"/>
        <family val="3"/>
        <charset val="136"/>
      </rPr>
      <t>最簡單的判斷法</t>
    </r>
    <r>
      <rPr>
        <sz val="18"/>
        <color rgb="FF1F1F1F"/>
        <rFont val="Iansui"/>
        <family val="3"/>
        <charset val="136"/>
      </rPr>
      <t>：只要發票上面印的是連鎖超市的名字，全部無腦記在這類！</t>
    </r>
  </si>
  <si>
    <r>
      <t xml:space="preserve">1. 吃進肚子裡的：外面買做好的 👉 </t>
    </r>
    <r>
      <rPr>
        <sz val="18"/>
        <color rgb="FF444746"/>
        <rFont val="Iansui"/>
        <family val="3"/>
        <charset val="136"/>
      </rPr>
      <t>🍴 餐飲</t>
    </r>
    <r>
      <rPr>
        <sz val="18"/>
        <color rgb="FF1F1F1F"/>
        <rFont val="Iansui"/>
        <family val="3"/>
        <charset val="136"/>
      </rPr>
      <t xml:space="preserve"> ／ 買回來自己做的 👉 </t>
    </r>
    <r>
      <rPr>
        <sz val="18"/>
        <color rgb="FF444746"/>
        <rFont val="Iansui"/>
        <family val="3"/>
        <charset val="136"/>
      </rPr>
      <t>🛒 超市</t>
    </r>
  </si>
  <si>
    <r>
      <t xml:space="preserve">2. 交通移動的：在天上飛的 👉 </t>
    </r>
    <r>
      <rPr>
        <sz val="18"/>
        <color rgb="FF444746"/>
        <rFont val="Iansui"/>
        <family val="3"/>
        <charset val="136"/>
      </rPr>
      <t>🎫 機票</t>
    </r>
    <r>
      <rPr>
        <sz val="18"/>
        <color rgb="FF1F1F1F"/>
        <rFont val="Iansui"/>
        <family val="3"/>
        <charset val="136"/>
      </rPr>
      <t xml:space="preserve"> ／ 在地上跑的 👉 </t>
    </r>
    <r>
      <rPr>
        <sz val="18"/>
        <color rgb="FF444746"/>
        <rFont val="Iansui"/>
        <family val="3"/>
        <charset val="136"/>
      </rPr>
      <t>🚄 交通</t>
    </r>
  </si>
  <si>
    <r>
      <t xml:space="preserve">3. 花錢買快樂的：門票、溫泉、紀念品 👉 </t>
    </r>
    <r>
      <rPr>
        <sz val="18"/>
        <color rgb="FF444746"/>
        <rFont val="Iansui"/>
        <family val="3"/>
        <charset val="136"/>
      </rPr>
      <t>🎁 活動</t>
    </r>
  </si>
  <si>
    <r>
      <t xml:space="preserve">4. 想不到放哪裡的：全部丟 👉 </t>
    </r>
    <r>
      <rPr>
        <sz val="18"/>
        <color rgb="FF444746"/>
        <rFont val="Iansui"/>
        <family val="3"/>
        <charset val="136"/>
      </rPr>
      <t>📦 雜支</t>
    </r>
  </si>
  <si>
    <t>類別圖示</t>
  </si>
  <si>
    <t>建議項目</t>
  </si>
  <si>
    <t>記帳要點</t>
  </si>
  <si>
    <t>餐廳、咖啡、路邊攤</t>
  </si>
  <si>
    <t>地鐵、火車、Uber</t>
  </si>
  <si>
    <t>陸地上跑的交通工具</t>
  </si>
  <si>
    <t>飯店、Airbnb、城市稅</t>
  </si>
  <si>
    <t>睡覺相關的總支出</t>
  </si>
  <si>
    <t>國際與歐內大段機票</t>
  </si>
  <si>
    <t>包含加購行李與選位</t>
  </si>
  <si>
    <t>SPAR、Billa、買菜自炊</t>
  </si>
  <si>
    <t>門票、溫泉、伴手禮</t>
  </si>
  <si>
    <t>體驗行程與買給人的禮物</t>
  </si>
  <si>
    <t>保險、網卡、行前購買</t>
  </si>
  <si>
    <t>出發前就產生的開銷</t>
  </si>
  <si>
    <t>廁所、寄物、刷卡手續費</t>
  </si>
  <si>
    <t>無法分類的零碎支出</t>
  </si>
  <si>
    <t>買生鮮食材與飲水首選</t>
    <phoneticPr fontId="1" type="noConversion"/>
  </si>
  <si>
    <t>外食才算這一類</t>
    <phoneticPr fontId="1" type="noConversion"/>
  </si>
  <si>
    <r>
      <rPr>
        <sz val="20"/>
        <color theme="1"/>
        <rFont val="Iansui"/>
        <family val="3"/>
        <charset val="136"/>
      </rPr>
      <t>圖例</t>
    </r>
  </si>
  <si>
    <r>
      <rPr>
        <sz val="20"/>
        <color theme="1"/>
        <rFont val="Iansui"/>
        <family val="3"/>
        <charset val="136"/>
      </rPr>
      <t>合計</t>
    </r>
  </si>
  <si>
    <r>
      <rPr>
        <sz val="20"/>
        <color theme="1"/>
        <rFont val="Iansui"/>
        <family val="3"/>
        <charset val="136"/>
      </rPr>
      <t>消費類別</t>
    </r>
  </si>
  <si>
    <r>
      <t xml:space="preserve">🍴 </t>
    </r>
    <r>
      <rPr>
        <sz val="20"/>
        <color theme="1"/>
        <rFont val="Iansui"/>
        <family val="3"/>
        <charset val="136"/>
      </rPr>
      <t>餐飲</t>
    </r>
  </si>
  <si>
    <r>
      <t xml:space="preserve">🏠 </t>
    </r>
    <r>
      <rPr>
        <sz val="20"/>
        <color theme="1"/>
        <rFont val="Iansui"/>
        <family val="3"/>
        <charset val="136"/>
      </rPr>
      <t>住宿</t>
    </r>
  </si>
  <si>
    <r>
      <rPr>
        <sz val="20"/>
        <color rgb="FF22C55E"/>
        <rFont val="Iansui"/>
        <family val="3"/>
        <charset val="136"/>
      </rPr>
      <t>●</t>
    </r>
  </si>
  <si>
    <r>
      <rPr>
        <sz val="20"/>
        <color rgb="FF3B82F6"/>
        <rFont val="Iansui"/>
        <family val="3"/>
        <charset val="136"/>
      </rPr>
      <t>●</t>
    </r>
  </si>
  <si>
    <r>
      <rPr>
        <sz val="20"/>
        <color rgb="FFF97316"/>
        <rFont val="Iansui"/>
        <family val="3"/>
        <charset val="136"/>
      </rPr>
      <t>●</t>
    </r>
  </si>
  <si>
    <r>
      <t xml:space="preserve">🎫 </t>
    </r>
    <r>
      <rPr>
        <sz val="16"/>
        <color theme="1"/>
        <rFont val="Iansui"/>
        <family val="3"/>
        <charset val="136"/>
      </rPr>
      <t>機票</t>
    </r>
  </si>
  <si>
    <r>
      <t xml:space="preserve">🎫 </t>
    </r>
    <r>
      <rPr>
        <sz val="20"/>
        <color theme="1"/>
        <rFont val="Iansui"/>
        <family val="3"/>
        <charset val="136"/>
      </rPr>
      <t>機票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</si>
</sst>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&quot;$&quot;#,##0"/>
    <numFmt numFmtId="178" formatCode="0.0%"/>
  </numFmts>
  <fonts count="1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Iansui"/>
      <family val="3"/>
      <charset val="136"/>
    </font>
    <font>
      <sz val="16"/>
      <color theme="1"/>
      <name val="Iansui"/>
      <family val="3"/>
      <charset val="136"/>
    </font>
    <font>
      <b/>
      <sz val="22"/>
      <color theme="1"/>
      <name val="Iansui"/>
      <family val="3"/>
      <charset val="136"/>
    </font>
    <font>
      <sz val="16"/>
      <color theme="1"/>
      <name val="Segoe UI Emoji"/>
      <family val="2"/>
    </font>
    <font>
      <b/>
      <sz val="26"/>
      <color rgb="FF323232"/>
      <name val="Segoe UI Emoji"/>
      <family val="2"/>
    </font>
    <font>
      <sz val="18"/>
      <color rgb="FF1F1F1F"/>
      <name val="Iansui"/>
      <family val="3"/>
      <charset val="136"/>
    </font>
    <font>
      <b/>
      <sz val="18"/>
      <color rgb="FF1F1F1F"/>
      <name val="Iansui"/>
      <family val="3"/>
      <charset val="136"/>
    </font>
    <font>
      <sz val="18"/>
      <color theme="1"/>
      <name val="Iansui"/>
      <family val="3"/>
      <charset val="136"/>
    </font>
    <font>
      <sz val="18"/>
      <color rgb="FF444746"/>
      <name val="Iansui"/>
      <family val="3"/>
      <charset val="136"/>
    </font>
    <font>
      <sz val="20"/>
      <color theme="1"/>
      <name val="Iansui"/>
      <family val="3"/>
      <charset val="136"/>
    </font>
    <font>
      <sz val="20"/>
      <color theme="1"/>
      <name val="Segoe UI Emoji"/>
      <family val="2"/>
    </font>
    <font>
      <sz val="20"/>
      <color rgb="FF22C55E"/>
      <name val="Segoe UI Emoji"/>
      <family val="2"/>
    </font>
    <font>
      <sz val="20"/>
      <color rgb="FF22C55E"/>
      <name val="Iansui"/>
      <family val="3"/>
      <charset val="136"/>
    </font>
    <font>
      <sz val="20"/>
      <color rgb="FF3B82F6"/>
      <name val="Segoe UI Emoji"/>
      <family val="2"/>
    </font>
    <font>
      <sz val="20"/>
      <color rgb="FF3B82F6"/>
      <name val="Iansui"/>
      <family val="3"/>
      <charset val="136"/>
    </font>
    <font>
      <sz val="20"/>
      <color rgb="FFF97316"/>
      <name val="Segoe UI Emoji"/>
      <family val="2"/>
    </font>
    <font>
      <sz val="20"/>
      <color rgb="FFF97316"/>
      <name val="Iansui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CFCFC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22" fontId="0" fillId="0" borderId="0" xfId="0" applyNumberFormat="1">
      <alignment vertical="center"/>
    </xf>
    <xf numFmtId="0" fontId="3" fillId="0" borderId="0" xfId="0" applyFont="1">
      <alignment vertical="center"/>
    </xf>
    <xf numFmtId="22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2" borderId="0" xfId="0" applyFont="1" applyFill="1">
      <alignment vertical="center"/>
    </xf>
    <xf numFmtId="0" fontId="6" fillId="2" borderId="0" xfId="0" applyFont="1" applyFill="1">
      <alignment vertical="center"/>
    </xf>
    <xf numFmtId="177" fontId="3" fillId="0" borderId="0" xfId="0" applyNumberFormat="1" applyFont="1">
      <alignment vertical="center"/>
    </xf>
    <xf numFmtId="0" fontId="7" fillId="0" borderId="0" xfId="0" applyFont="1" applyAlignment="1">
      <alignment horizontal="left" vertical="center" readingOrder="1"/>
    </xf>
    <xf numFmtId="0" fontId="9" fillId="0" borderId="0" xfId="0" applyFont="1">
      <alignment vertical="center"/>
    </xf>
    <xf numFmtId="0" fontId="8" fillId="0" borderId="1" xfId="0" applyFont="1" applyBorder="1" applyAlignment="1">
      <alignment vertical="center" wrapText="1" readingOrder="1"/>
    </xf>
    <xf numFmtId="0" fontId="7" fillId="0" borderId="1" xfId="0" applyFont="1" applyBorder="1" applyAlignment="1">
      <alignment vertical="center" wrapText="1" readingOrder="1"/>
    </xf>
    <xf numFmtId="0" fontId="1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177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 readingOrder="1"/>
    </xf>
  </cellXfs>
  <cellStyles count="1">
    <cellStyle name="一般" xfId="0" builtinId="0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27" formatCode="yyyy/m/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</dxfs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22C55E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A76-4C4C-BA38-4CE13CA6685D}"/>
              </c:ext>
            </c:extLst>
          </c:dPt>
          <c:dPt>
            <c:idx val="1"/>
            <c:bubble3D val="0"/>
            <c:spPr>
              <a:solidFill>
                <a:srgbClr val="3B82F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DA76-4C4C-BA38-4CE13CA6685D}"/>
              </c:ext>
            </c:extLst>
          </c:dPt>
          <c:dPt>
            <c:idx val="2"/>
            <c:bubble3D val="0"/>
            <c:spPr>
              <a:solidFill>
                <a:srgbClr val="F9731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A76-4C4C-BA38-4CE13CA6685D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🍴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A76-4C4C-BA38-4CE13CA6685D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🎫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A76-4C4C-BA38-4CE13CA6685D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🏠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A76-4C4C-BA38-4CE13CA6685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Group_Details!$O$4:$O$6</c:f>
              <c:strCache>
                <c:ptCount val="3"/>
                <c:pt idx="0">
                  <c:v>🍴 餐飲</c:v>
                </c:pt>
                <c:pt idx="1">
                  <c:v>🎫 機票</c:v>
                </c:pt>
                <c:pt idx="2">
                  <c:v>🏠 住宿</c:v>
                </c:pt>
              </c:strCache>
            </c:strRef>
          </c:cat>
          <c:val>
            <c:numRef>
              <c:f>Group_Details!$P$4:$P$6</c:f>
              <c:numCache>
                <c:formatCode>"$"#,##0</c:formatCode>
                <c:ptCount val="3"/>
                <c:pt idx="0">
                  <c:v>188202.1</c:v>
                </c:pt>
                <c:pt idx="1">
                  <c:v>15813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6-4C4C-BA38-4CE13CA66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2</xdr:col>
      <xdr:colOff>1867805</xdr:colOff>
      <xdr:row>41</xdr:row>
      <xdr:rowOff>200627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EF1E1347-61B5-A4AA-756E-F03750AEF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325" y="14249400"/>
          <a:ext cx="6487430" cy="4315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4349750</xdr:colOff>
      <xdr:row>3</xdr:row>
      <xdr:rowOff>50800</xdr:rowOff>
    </xdr:from>
    <xdr:to>
      <xdr:col>13</xdr:col>
      <xdr:colOff>615950</xdr:colOff>
      <xdr:row>6</xdr:row>
      <xdr:rowOff>92075</xdr:rowOff>
    </xdr:to>
    <xdr:sp macro="Btn1_ImportData" textlink="">
      <xdr:nvSpPr>
        <xdr:cNvPr id="2" name="矩形: 圓角 1">
          <a:extLst>
            <a:ext uri="{FF2B5EF4-FFF2-40B4-BE49-F238E27FC236}">
              <a16:creationId xmlns:a16="http://schemas.microsoft.com/office/drawing/2014/main" id="{A46BC8ED-B10C-50D7-56C4-2B5DA6B63AE3}"/>
            </a:ext>
          </a:extLst>
        </xdr:cNvPr>
        <xdr:cNvSpPr/>
      </xdr:nvSpPr>
      <xdr:spPr>
        <a:xfrm>
          <a:off x="5721350" y="974725"/>
          <a:ext cx="10220325" cy="698500"/>
        </a:xfrm>
        <a:prstGeom prst="roundRect">
          <a:avLst/>
        </a:prstGeom>
        <a:solidFill>
          <a:srgbClr val="9BBB5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1.</a:t>
          </a:r>
          <a:r>
            <a:rPr lang="en-US" altLang="zh-TW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 </a:t>
          </a:r>
          <a:r>
            <a:rPr lang="zh-TW" altLang="en-US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自動匯入 </a:t>
          </a:r>
          <a:r>
            <a:rPr lang="en-US" altLang="zh-TW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(Import)</a:t>
          </a:r>
          <a:endParaRPr lang="zh-TW" altLang="en-US" sz="2800" b="0">
            <a:solidFill>
              <a:srgbClr val="FFFFFF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  <xdr:twoCellAnchor>
    <xdr:from>
      <xdr:col>0</xdr:col>
      <xdr:colOff>187325</xdr:colOff>
      <xdr:row>8</xdr:row>
      <xdr:rowOff>53975</xdr:rowOff>
    </xdr:from>
    <xdr:to>
      <xdr:col>5</xdr:col>
      <xdr:colOff>568325</xdr:colOff>
      <xdr:row>11</xdr:row>
      <xdr:rowOff>95250</xdr:rowOff>
    </xdr:to>
    <xdr:sp macro="Btn2_Settings" textlink="">
      <xdr:nvSpPr>
        <xdr:cNvPr id="3" name="矩形: 圓角 2">
          <a:extLst>
            <a:ext uri="{FF2B5EF4-FFF2-40B4-BE49-F238E27FC236}">
              <a16:creationId xmlns:a16="http://schemas.microsoft.com/office/drawing/2014/main" id="{F78A2200-F7C3-1D88-E0B1-4A2221319031}"/>
            </a:ext>
          </a:extLst>
        </xdr:cNvPr>
        <xdr:cNvSpPr/>
      </xdr:nvSpPr>
      <xdr:spPr>
        <a:xfrm>
          <a:off x="187325" y="2073275"/>
          <a:ext cx="10220325" cy="698500"/>
        </a:xfrm>
        <a:prstGeom prst="roundRect">
          <a:avLst/>
        </a:prstGeom>
        <a:solidFill>
          <a:srgbClr val="70707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2.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系統設定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(Settings)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2</xdr:col>
      <xdr:colOff>4416425</xdr:colOff>
      <xdr:row>12</xdr:row>
      <xdr:rowOff>171450</xdr:rowOff>
    </xdr:from>
    <xdr:to>
      <xdr:col>13</xdr:col>
      <xdr:colOff>682625</xdr:colOff>
      <xdr:row>15</xdr:row>
      <xdr:rowOff>212725</xdr:rowOff>
    </xdr:to>
    <xdr:sp macro="Btn3_GroupDetails" textlink="">
      <xdr:nvSpPr>
        <xdr:cNvPr id="4" name="矩形: 圓角 3">
          <a:extLst>
            <a:ext uri="{FF2B5EF4-FFF2-40B4-BE49-F238E27FC236}">
              <a16:creationId xmlns:a16="http://schemas.microsoft.com/office/drawing/2014/main" id="{65A85481-8FEE-2BA2-A661-5B7B5547D2F0}"/>
            </a:ext>
          </a:extLst>
        </xdr:cNvPr>
        <xdr:cNvSpPr/>
      </xdr:nvSpPr>
      <xdr:spPr>
        <a:xfrm>
          <a:off x="5788025" y="3067050"/>
          <a:ext cx="10220325" cy="698500"/>
        </a:xfrm>
        <a:prstGeom prst="roundRect">
          <a:avLst/>
        </a:prstGeom>
        <a:solidFill>
          <a:srgbClr val="9696FA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3.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團體明細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(Group)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0</xdr:col>
      <xdr:colOff>158750</xdr:colOff>
      <xdr:row>17</xdr:row>
      <xdr:rowOff>174625</xdr:rowOff>
    </xdr:from>
    <xdr:to>
      <xdr:col>5</xdr:col>
      <xdr:colOff>539750</xdr:colOff>
      <xdr:row>20</xdr:row>
      <xdr:rowOff>215900</xdr:rowOff>
    </xdr:to>
    <xdr:sp macro="Btn4_PersonalSheets" textlink="">
      <xdr:nvSpPr>
        <xdr:cNvPr id="5" name="矩形: 圓角 4">
          <a:extLst>
            <a:ext uri="{FF2B5EF4-FFF2-40B4-BE49-F238E27FC236}">
              <a16:creationId xmlns:a16="http://schemas.microsoft.com/office/drawing/2014/main" id="{B3EFE33B-30F7-2766-52B1-20BFF07ACE0A}"/>
            </a:ext>
          </a:extLst>
        </xdr:cNvPr>
        <xdr:cNvSpPr/>
      </xdr:nvSpPr>
      <xdr:spPr>
        <a:xfrm>
          <a:off x="158750" y="4165600"/>
          <a:ext cx="10220325" cy="6985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4.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個人分頁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(Personal)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2</xdr:col>
      <xdr:colOff>815975</xdr:colOff>
      <xdr:row>23</xdr:row>
      <xdr:rowOff>73025</xdr:rowOff>
    </xdr:from>
    <xdr:to>
      <xdr:col>8</xdr:col>
      <xdr:colOff>511175</xdr:colOff>
      <xdr:row>26</xdr:row>
      <xdr:rowOff>114300</xdr:rowOff>
    </xdr:to>
    <xdr:sp macro="Btn5_GroupSummary" textlink="">
      <xdr:nvSpPr>
        <xdr:cNvPr id="6" name="矩形: 圓角 5">
          <a:extLst>
            <a:ext uri="{FF2B5EF4-FFF2-40B4-BE49-F238E27FC236}">
              <a16:creationId xmlns:a16="http://schemas.microsoft.com/office/drawing/2014/main" id="{8EC8FF98-423B-2DE8-8770-1921C2A41D1D}"/>
            </a:ext>
          </a:extLst>
        </xdr:cNvPr>
        <xdr:cNvSpPr/>
      </xdr:nvSpPr>
      <xdr:spPr>
        <a:xfrm>
          <a:off x="2187575" y="5378450"/>
          <a:ext cx="10220325" cy="698500"/>
        </a:xfrm>
        <a:prstGeom prst="roundRect">
          <a:avLst/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5.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終局結算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(Summary)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0</xdr:col>
      <xdr:colOff>352425</xdr:colOff>
      <xdr:row>0</xdr:row>
      <xdr:rowOff>47625</xdr:rowOff>
    </xdr:from>
    <xdr:to>
      <xdr:col>10</xdr:col>
      <xdr:colOff>533400</xdr:colOff>
      <xdr:row>5</xdr:row>
      <xdr:rowOff>180975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1829F41F-F881-4DF0-BFFC-AD008953FFE1}"/>
            </a:ext>
          </a:extLst>
        </xdr:cNvPr>
        <xdr:cNvSpPr/>
      </xdr:nvSpPr>
      <xdr:spPr>
        <a:xfrm>
          <a:off x="352425" y="47625"/>
          <a:ext cx="13449300" cy="149542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🐬 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2026 </a:t>
          </a:r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哆啦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A</a:t>
          </a:r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夢對帳系統 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(Colorful Icons)</a:t>
          </a:r>
          <a:endParaRPr lang="zh-TW" altLang="en-US" sz="4800" b="1">
            <a:solidFill>
              <a:srgbClr val="323232"/>
            </a:solidFill>
            <a:latin typeface="華康POP1體W5" panose="040B0509000000000000" pitchFamily="81" charset="-120"/>
            <a:ea typeface="華康POP1體W5" panose="040B0509000000000000" pitchFamily="81" charset="-120"/>
          </a:endParaRPr>
        </a:p>
      </xdr:txBody>
    </xdr:sp>
    <xdr:clientData/>
  </xdr:twoCellAnchor>
  <xdr:twoCellAnchor>
    <xdr:from>
      <xdr:col>10</xdr:col>
      <xdr:colOff>333375</xdr:colOff>
      <xdr:row>17</xdr:row>
      <xdr:rowOff>161925</xdr:rowOff>
    </xdr:from>
    <xdr:to>
      <xdr:col>13</xdr:col>
      <xdr:colOff>114300</xdr:colOff>
      <xdr:row>20</xdr:row>
      <xdr:rowOff>203200</xdr:rowOff>
    </xdr:to>
    <xdr:sp macro="[0]!ExportMacaronPDF_Ultimate_Final" textlink="">
      <xdr:nvSpPr>
        <xdr:cNvPr id="8" name="矩形: 圓角 7">
          <a:extLst>
            <a:ext uri="{FF2B5EF4-FFF2-40B4-BE49-F238E27FC236}">
              <a16:creationId xmlns:a16="http://schemas.microsoft.com/office/drawing/2014/main" id="{DA65A8D1-D799-45D7-9E0B-C13887E94AC7}"/>
            </a:ext>
          </a:extLst>
        </xdr:cNvPr>
        <xdr:cNvSpPr/>
      </xdr:nvSpPr>
      <xdr:spPr>
        <a:xfrm>
          <a:off x="13601700" y="4152900"/>
          <a:ext cx="1838325" cy="6985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PDF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匯出</a:t>
          </a:r>
          <a:endParaRPr lang="zh-TW" altLang="en-US" sz="2800" b="0">
            <a:solidFill>
              <a:srgbClr val="FFFFFF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  <xdr:twoCellAnchor>
    <xdr:from>
      <xdr:col>12</xdr:col>
      <xdr:colOff>209550</xdr:colOff>
      <xdr:row>23</xdr:row>
      <xdr:rowOff>76200</xdr:rowOff>
    </xdr:from>
    <xdr:to>
      <xdr:col>14</xdr:col>
      <xdr:colOff>676275</xdr:colOff>
      <xdr:row>26</xdr:row>
      <xdr:rowOff>117475</xdr:rowOff>
    </xdr:to>
    <xdr:sp macro="[0]!ShowExportForm" textlink="">
      <xdr:nvSpPr>
        <xdr:cNvPr id="9" name="矩形: 圓角 8">
          <a:extLst>
            <a:ext uri="{FF2B5EF4-FFF2-40B4-BE49-F238E27FC236}">
              <a16:creationId xmlns:a16="http://schemas.microsoft.com/office/drawing/2014/main" id="{75671A54-2C00-40E8-A249-2F66C3B227A4}"/>
            </a:ext>
          </a:extLst>
        </xdr:cNvPr>
        <xdr:cNvSpPr/>
      </xdr:nvSpPr>
      <xdr:spPr>
        <a:xfrm>
          <a:off x="14849475" y="5381625"/>
          <a:ext cx="1838325" cy="698500"/>
        </a:xfrm>
        <a:prstGeom prst="roundRect">
          <a:avLst/>
        </a:prstGeom>
        <a:solidFill>
          <a:srgbClr val="FFFF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800" b="0">
              <a:solidFill>
                <a:sysClr val="windowText" lastClr="000000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個人匯出</a:t>
          </a:r>
          <a:endParaRPr lang="zh-TW" altLang="en-US" sz="2800" b="0">
            <a:solidFill>
              <a:sysClr val="windowText" lastClr="000000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41275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ED331B26-2CD4-8502-201F-43C922D38BDE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241300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57544026-7772-C42D-5114-1D2D90052DC6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254000</xdr:colOff>
      <xdr:row>2</xdr:row>
      <xdr:rowOff>0</xdr:rowOff>
    </xdr:from>
    <xdr:to>
      <xdr:col>33</xdr:col>
      <xdr:colOff>127000</xdr:colOff>
      <xdr:row>23</xdr:row>
      <xdr:rowOff>57150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3736501A-2F30-FDDA-C02F-0D7A1D165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1270000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533B3BF8-AE3F-62BA-BF00-D86678208E52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B88757-296F-4274-8A10-155970605273}" name="表格1" displayName="表格1" ref="A3:M11" totalsRowShown="0" headerRowDxfId="46" dataDxfId="47">
  <autoFilter ref="A3:M11" xr:uid="{21B88757-296F-4274-8A10-155970605273}"/>
  <tableColumns count="13">
    <tableColumn id="1" xr3:uid="{C5F2E980-5997-457B-990F-3771224C6650}" name="expenseId" dataDxfId="60"/>
    <tableColumn id="2" xr3:uid="{DE8D0EF2-5B6C-43E6-AE0B-F570A20EDDFE}" name="date" dataDxfId="59"/>
    <tableColumn id="3" xr3:uid="{55DDECA4-DF4A-4D06-A727-7FD59E09701A}" name="category" dataDxfId="58"/>
    <tableColumn id="4" xr3:uid="{4C556047-7E09-4AA7-8D89-C2A2F0F62E1A}" name="description" dataDxfId="57"/>
    <tableColumn id="5" xr3:uid="{59075A43-BEDA-4358-A5F2-B8F2F44720F0}" name="amount" dataDxfId="56"/>
    <tableColumn id="6" xr3:uid="{FCDF409D-50B5-4D39-97B2-D958F375376E}" name="currency" dataDxfId="55"/>
    <tableColumn id="7" xr3:uid="{29DAFA70-1828-4705-912F-E58094FB6256}" name="appliedRate" dataDxfId="54"/>
    <tableColumn id="8" xr3:uid="{3411B00E-4407-4098-AC8C-0F15596AF74D}" name="twdEquivalent" dataDxfId="53"/>
    <tableColumn id="9" xr3:uid="{230397F4-7E08-48EF-85B3-1C2EB9248551}" name="payerUID" dataDxfId="52"/>
    <tableColumn id="10" xr3:uid="{ECB94169-0A92-4853-B73C-FD824E515A68}" name="shares" dataDxfId="51"/>
    <tableColumn id="11" xr3:uid="{785AAB93-E6BC-4786-971B-6037A441D1CA}" name="paymentMethod" dataDxfId="50"/>
    <tableColumn id="12" xr3:uid="{78BEFC8A-DFC7-45FA-AE74-334F04BBE6D8}" name="walletId" dataDxfId="49"/>
    <tableColumn id="13" xr3:uid="{3065B50D-1276-4C06-96D6-46EEC397D07B}" name="notes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76408B-B9CA-4F93-A0DB-635D423ED6F1}" name="表格2" displayName="表格2" ref="A3:G7" totalsRowShown="0" headerRowDxfId="37" dataDxfId="38">
  <autoFilter ref="A3:G7" xr:uid="{3476408B-B9CA-4F93-A0DB-635D423ED6F1}"/>
  <tableColumns count="7">
    <tableColumn id="1" xr3:uid="{BED8A893-CD28-458B-8927-0D0E6259055B}" name="walletId" dataDxfId="45"/>
    <tableColumn id="2" xr3:uid="{63CC406F-F168-4289-B4E3-3AB8E3834C0C}" name="ownerUID" dataDxfId="44"/>
    <tableColumn id="3" xr3:uid="{8B9880A3-CA27-44BA-9163-9A187BC78F00}" name="currency" dataDxfId="43"/>
    <tableColumn id="4" xr3:uid="{72536AB2-3569-4EE8-ADA9-19AA3229B76C}" name="originalAmount" dataDxfId="42"/>
    <tableColumn id="5" xr3:uid="{90340387-7CD7-4271-91A6-7E771A9E80F6}" name="balance" dataDxfId="41"/>
    <tableColumn id="6" xr3:uid="{D970668C-6CF5-4D6D-B408-91C77A9BBBFB}" name="rate" dataDxfId="40"/>
    <tableColumn id="7" xr3:uid="{5D1B290B-0467-4098-B526-998761A750DA}" name="createdAt" dataDxfId="3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3B7467-ADCE-409E-9B44-394E9A6F92B9}" name="表格3" displayName="表格3" ref="A3:L10" totalsRowCount="1" headerRowDxfId="31" dataDxfId="32">
  <autoFilter ref="A3:L9" xr:uid="{643B7467-ADCE-409E-9B44-394E9A6F92B9}"/>
  <sortState xmlns:xlrd2="http://schemas.microsoft.com/office/spreadsheetml/2017/richdata2" ref="A4:L9">
    <sortCondition ref="A4:A9"/>
  </sortState>
  <tableColumns count="12">
    <tableColumn id="1" xr3:uid="{5865012E-975E-4675-839A-0CC106483675}" name="日期" totalsRowLabel="合計" dataDxfId="36" totalsRowDxfId="30"/>
    <tableColumn id="2" xr3:uid="{08D7A9BA-64D9-4AA9-91DF-0F909B5E189A}" name="屬性" dataDxfId="21" totalsRowDxfId="29"/>
    <tableColumn id="3" xr3:uid="{FF85E560-F6A0-435B-83D0-F8D433E7D9A1}" name="類別" dataDxfId="20" totalsRowDxfId="19"/>
    <tableColumn id="4" xr3:uid="{86803DF1-B08E-4B9B-8F39-7C171A428B11}" name="描述" dataDxfId="18" totalsRowDxfId="28"/>
    <tableColumn id="5" xr3:uid="{322CE97C-9178-4F79-9AF5-56675BEFD37F}" name="支付者" dataDxfId="16" totalsRowDxfId="15"/>
    <tableColumn id="6" xr3:uid="{71D54DB4-4D6A-4725-A3FB-72061BCDEF5F}" name="方式" dataDxfId="17" totalsRowDxfId="27"/>
    <tableColumn id="7" xr3:uid="{9AA75E8E-36D1-428F-A198-9B1A01517BD8}" name="原幣" dataDxfId="35" totalsRowDxfId="26"/>
    <tableColumn id="8" xr3:uid="{8B245D50-FF7B-49A1-BC05-30464B05E1C1}" name="原幣額" totalsRowFunction="sum" dataDxfId="34" totalsRowDxfId="24"/>
    <tableColumn id="9" xr3:uid="{1ABD98D7-B60F-452B-B1E5-A46C58B01C0F}" name="匯率" dataDxfId="33" totalsRowDxfId="25"/>
    <tableColumn id="10" xr3:uid="{0B2DB2FE-82BA-404B-B83A-E8FF1D610C78}" name="台幣總額" totalsRowFunction="sum" dataDxfId="14" totalsRowDxfId="23"/>
    <tableColumn id="11" xr3:uid="{CC692607-71D3-4F8C-8B64-984108C6A884}" name="分攤名單" dataDxfId="12" totalsRowDxfId="11"/>
    <tableColumn id="12" xr3:uid="{60CBDECD-E249-4DA1-B55A-2555EF2FBE3C}" name="每人應攤" totalsRowFunction="sum" dataDxfId="13" totalsRowDxfId="2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FEC5DA-FB3E-4E9F-8BB2-8DD9DBC2D3AD}" name="Tbl_Summary_Group_Details_N3" displayName="Tbl_Summary_Group_Details_N3" ref="N3:Q7" totalsRowCount="1" headerRowDxfId="10" dataDxfId="8" totalsRowDxfId="9">
  <autoFilter ref="N3:Q6" xr:uid="{01FEC5DA-FB3E-4E9F-8BB2-8DD9DBC2D3AD}"/>
  <tableColumns count="4">
    <tableColumn id="1" xr3:uid="{C6247695-968D-40B4-817F-C176AC495A0D}" name="圖例" totalsRowLabel="合計" dataDxfId="6" totalsRowDxfId="7"/>
    <tableColumn id="2" xr3:uid="{FB9E3B35-C7E5-4D15-A887-B144DD2BDF26}" name="消費類別" dataDxfId="4" totalsRowDxfId="5"/>
    <tableColumn id="3" xr3:uid="{AB7EACBC-4481-47C0-9E2F-7067D9D7875A}" name="總金額" totalsRowFunction="sum" dataDxfId="2" totalsRowDxfId="3"/>
    <tableColumn id="4" xr3:uid="{50C9BD43-A43F-43C9-B56C-0CB3D40F574E}" name="佔比 (%)" totalsRowFunction="sum" dataDxfId="1" totalsRow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6A943-B5BD-4470-9C00-D50AD4B8F8BD}">
  <sheetPr codeName="工作表1"/>
  <dimension ref="A1:N10"/>
  <sheetViews>
    <sheetView workbookViewId="0"/>
  </sheetViews>
  <sheetFormatPr defaultRowHeight="16.5" x14ac:dyDescent="0.25"/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72</v>
      </c>
      <c r="B2" s="2">
        <v>46071.460416666669</v>
      </c>
      <c r="C2" t="s">
        <v>73</v>
      </c>
      <c r="D2" t="s">
        <v>71</v>
      </c>
      <c r="E2">
        <v>2000</v>
      </c>
      <c r="F2" t="s">
        <v>17</v>
      </c>
      <c r="G2">
        <v>33</v>
      </c>
      <c r="H2">
        <v>66000</v>
      </c>
      <c r="I2" t="s">
        <v>18</v>
      </c>
      <c r="J2" t="s">
        <v>19</v>
      </c>
      <c r="K2" t="s">
        <v>34</v>
      </c>
      <c r="L2" t="s">
        <v>70</v>
      </c>
      <c r="N2">
        <v>3</v>
      </c>
    </row>
    <row r="3" spans="1:14" x14ac:dyDescent="0.25">
      <c r="A3" t="s">
        <v>14</v>
      </c>
      <c r="B3" s="2">
        <v>46066.722916666666</v>
      </c>
      <c r="C3" t="s">
        <v>15</v>
      </c>
      <c r="D3" t="s">
        <v>16</v>
      </c>
      <c r="E3">
        <v>72</v>
      </c>
      <c r="F3" t="s">
        <v>17</v>
      </c>
      <c r="G3">
        <v>34.799999999999997</v>
      </c>
      <c r="H3">
        <v>2505.6</v>
      </c>
      <c r="I3" t="s">
        <v>18</v>
      </c>
      <c r="J3" t="s">
        <v>19</v>
      </c>
      <c r="K3" t="s">
        <v>20</v>
      </c>
      <c r="N3">
        <v>3</v>
      </c>
    </row>
    <row r="4" spans="1:14" x14ac:dyDescent="0.25">
      <c r="A4" t="s">
        <v>21</v>
      </c>
      <c r="B4" s="2">
        <v>46070.718055555553</v>
      </c>
      <c r="C4" t="s">
        <v>22</v>
      </c>
      <c r="D4" t="s">
        <v>23</v>
      </c>
      <c r="E4">
        <v>502</v>
      </c>
      <c r="F4" t="s">
        <v>24</v>
      </c>
      <c r="G4">
        <v>31.5</v>
      </c>
      <c r="H4">
        <v>15813</v>
      </c>
      <c r="I4" t="s">
        <v>25</v>
      </c>
      <c r="J4" t="s">
        <v>26</v>
      </c>
      <c r="K4" t="s">
        <v>20</v>
      </c>
      <c r="N4">
        <v>2</v>
      </c>
    </row>
    <row r="5" spans="1:14" x14ac:dyDescent="0.25">
      <c r="A5" t="s">
        <v>27</v>
      </c>
      <c r="B5" s="2">
        <v>46070.717361111114</v>
      </c>
      <c r="C5" t="s">
        <v>15</v>
      </c>
      <c r="D5" t="s">
        <v>28</v>
      </c>
      <c r="E5">
        <v>5001</v>
      </c>
      <c r="F5" t="s">
        <v>24</v>
      </c>
      <c r="G5">
        <v>31.5</v>
      </c>
      <c r="H5">
        <v>157531.5</v>
      </c>
      <c r="I5" t="s">
        <v>25</v>
      </c>
      <c r="J5" t="s">
        <v>26</v>
      </c>
      <c r="K5" t="s">
        <v>20</v>
      </c>
      <c r="N5">
        <v>2</v>
      </c>
    </row>
    <row r="6" spans="1:14" x14ac:dyDescent="0.25">
      <c r="A6" t="s">
        <v>29</v>
      </c>
      <c r="B6" s="2">
        <v>46063.490972222222</v>
      </c>
      <c r="C6" t="s">
        <v>30</v>
      </c>
      <c r="D6" t="s">
        <v>31</v>
      </c>
      <c r="E6">
        <v>400</v>
      </c>
      <c r="F6" t="s">
        <v>32</v>
      </c>
      <c r="G6">
        <v>0.33</v>
      </c>
      <c r="H6">
        <v>132</v>
      </c>
      <c r="I6" t="s">
        <v>33</v>
      </c>
      <c r="J6" t="s">
        <v>33</v>
      </c>
      <c r="K6" t="s">
        <v>34</v>
      </c>
      <c r="L6" t="s">
        <v>35</v>
      </c>
      <c r="N6">
        <v>1</v>
      </c>
    </row>
    <row r="7" spans="1:14" x14ac:dyDescent="0.25">
      <c r="A7" t="s">
        <v>36</v>
      </c>
      <c r="B7" s="2">
        <v>46063.490972222222</v>
      </c>
      <c r="C7" t="s">
        <v>15</v>
      </c>
      <c r="D7" t="s">
        <v>37</v>
      </c>
      <c r="E7">
        <v>500</v>
      </c>
      <c r="F7" t="s">
        <v>32</v>
      </c>
      <c r="G7">
        <v>0.33</v>
      </c>
      <c r="H7">
        <v>165</v>
      </c>
      <c r="I7" t="s">
        <v>33</v>
      </c>
      <c r="J7" t="s">
        <v>33</v>
      </c>
      <c r="K7" t="s">
        <v>34</v>
      </c>
      <c r="L7" t="s">
        <v>35</v>
      </c>
      <c r="N7">
        <v>1</v>
      </c>
    </row>
    <row r="8" spans="1:14" x14ac:dyDescent="0.25">
      <c r="A8" t="s">
        <v>38</v>
      </c>
      <c r="B8" s="2">
        <v>46063.490277777775</v>
      </c>
      <c r="C8" t="s">
        <v>15</v>
      </c>
      <c r="D8" t="s">
        <v>39</v>
      </c>
      <c r="E8">
        <v>700</v>
      </c>
      <c r="F8" t="s">
        <v>24</v>
      </c>
      <c r="G8">
        <v>40</v>
      </c>
      <c r="H8">
        <v>28000</v>
      </c>
      <c r="I8" t="s">
        <v>18</v>
      </c>
      <c r="J8" t="s">
        <v>26</v>
      </c>
      <c r="K8" t="s">
        <v>34</v>
      </c>
      <c r="L8" t="s">
        <v>40</v>
      </c>
      <c r="N8">
        <v>2</v>
      </c>
    </row>
    <row r="9" spans="1:14" x14ac:dyDescent="0.25">
      <c r="A9" t="s">
        <v>41</v>
      </c>
      <c r="B9" s="2">
        <v>46063.489583333336</v>
      </c>
      <c r="C9" t="s">
        <v>15</v>
      </c>
      <c r="D9" t="s">
        <v>42</v>
      </c>
      <c r="E9">
        <v>35</v>
      </c>
      <c r="F9" t="s">
        <v>24</v>
      </c>
      <c r="G9">
        <v>31.5</v>
      </c>
      <c r="H9">
        <v>1102.5</v>
      </c>
      <c r="I9" t="s">
        <v>18</v>
      </c>
      <c r="J9" t="s">
        <v>18</v>
      </c>
      <c r="K9" t="s">
        <v>20</v>
      </c>
      <c r="N9">
        <v>1</v>
      </c>
    </row>
    <row r="10" spans="1:14" x14ac:dyDescent="0.25">
      <c r="A10" t="s">
        <v>43</v>
      </c>
      <c r="B10" s="2">
        <v>46063.489583333336</v>
      </c>
      <c r="C10" t="s">
        <v>15</v>
      </c>
      <c r="D10" t="s">
        <v>44</v>
      </c>
      <c r="E10">
        <v>500</v>
      </c>
      <c r="F10" t="s">
        <v>24</v>
      </c>
      <c r="G10">
        <v>31.5</v>
      </c>
      <c r="H10">
        <v>15750</v>
      </c>
      <c r="I10" t="s">
        <v>18</v>
      </c>
      <c r="J10" t="s">
        <v>18</v>
      </c>
      <c r="K10" t="s">
        <v>20</v>
      </c>
      <c r="N10">
        <v>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27A8-9383-4447-9B30-99742E3380D8}">
  <sheetPr codeName="工作表2"/>
  <dimension ref="A1:G5"/>
  <sheetViews>
    <sheetView workbookViewId="0"/>
  </sheetViews>
  <sheetFormatPr defaultRowHeight="16.5" x14ac:dyDescent="0.25"/>
  <sheetData>
    <row r="1" spans="1:7" x14ac:dyDescent="0.25">
      <c r="A1" t="s">
        <v>11</v>
      </c>
      <c r="B1" t="s">
        <v>45</v>
      </c>
      <c r="C1" t="s">
        <v>5</v>
      </c>
      <c r="D1" t="s">
        <v>46</v>
      </c>
      <c r="E1" t="s">
        <v>47</v>
      </c>
      <c r="F1" t="s">
        <v>48</v>
      </c>
      <c r="G1" t="s">
        <v>49</v>
      </c>
    </row>
    <row r="2" spans="1:7" x14ac:dyDescent="0.25">
      <c r="A2" t="s">
        <v>40</v>
      </c>
      <c r="B2" t="s">
        <v>18</v>
      </c>
      <c r="C2" t="s">
        <v>24</v>
      </c>
      <c r="D2">
        <v>50000</v>
      </c>
      <c r="E2">
        <v>49300</v>
      </c>
      <c r="F2">
        <v>40</v>
      </c>
      <c r="G2" t="s">
        <v>50</v>
      </c>
    </row>
    <row r="3" spans="1:7" x14ac:dyDescent="0.25">
      <c r="A3" t="s">
        <v>35</v>
      </c>
      <c r="B3" t="s">
        <v>33</v>
      </c>
      <c r="C3" t="s">
        <v>32</v>
      </c>
      <c r="D3">
        <v>50000</v>
      </c>
      <c r="E3">
        <v>49100</v>
      </c>
      <c r="F3">
        <v>0.33</v>
      </c>
      <c r="G3" t="s">
        <v>51</v>
      </c>
    </row>
    <row r="4" spans="1:7" x14ac:dyDescent="0.25">
      <c r="A4" t="s">
        <v>69</v>
      </c>
      <c r="B4" t="s">
        <v>18</v>
      </c>
      <c r="C4" t="s">
        <v>32</v>
      </c>
      <c r="D4">
        <v>56000</v>
      </c>
      <c r="E4">
        <v>56000</v>
      </c>
      <c r="F4">
        <v>0.35</v>
      </c>
      <c r="G4" t="s">
        <v>74</v>
      </c>
    </row>
    <row r="5" spans="1:7" x14ac:dyDescent="0.25">
      <c r="A5" t="s">
        <v>70</v>
      </c>
      <c r="B5" t="s">
        <v>18</v>
      </c>
      <c r="C5" t="s">
        <v>17</v>
      </c>
      <c r="D5">
        <v>70000</v>
      </c>
      <c r="E5">
        <v>68000</v>
      </c>
      <c r="F5">
        <v>33</v>
      </c>
      <c r="G5" t="s">
        <v>75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0CAD-A4A1-4BC5-9FCF-F43116CC197F}">
  <sheetPr codeName="工作表39"/>
  <dimension ref="A1:E28"/>
  <sheetViews>
    <sheetView workbookViewId="0">
      <selection activeCell="B30" sqref="B30"/>
    </sheetView>
  </sheetViews>
  <sheetFormatPr defaultRowHeight="27" x14ac:dyDescent="0.25"/>
  <cols>
    <col min="1" max="1" width="14.125" style="12" customWidth="1"/>
    <col min="2" max="4" width="60.625" style="12" customWidth="1"/>
    <col min="5" max="16384" width="9" style="12"/>
  </cols>
  <sheetData>
    <row r="1" spans="1:5" x14ac:dyDescent="0.25">
      <c r="A1" s="24" t="s">
        <v>121</v>
      </c>
      <c r="B1" s="24"/>
      <c r="C1" s="24"/>
      <c r="D1" s="24"/>
    </row>
    <row r="2" spans="1:5" x14ac:dyDescent="0.25">
      <c r="A2" s="24" t="s">
        <v>122</v>
      </c>
      <c r="B2" s="24"/>
      <c r="C2" s="24"/>
      <c r="D2" s="24"/>
      <c r="E2" s="11"/>
    </row>
    <row r="3" spans="1:5" ht="27.75" thickBot="1" x14ac:dyDescent="0.3">
      <c r="A3" s="24" t="s">
        <v>89</v>
      </c>
      <c r="B3" s="24"/>
      <c r="C3" s="24"/>
      <c r="D3" s="24"/>
    </row>
    <row r="4" spans="1:5" ht="54.75" thickBot="1" x14ac:dyDescent="0.3">
      <c r="A4" s="13" t="s">
        <v>90</v>
      </c>
      <c r="B4" s="13" t="s">
        <v>91</v>
      </c>
      <c r="C4" s="13" t="s">
        <v>92</v>
      </c>
      <c r="D4" s="13" t="s">
        <v>93</v>
      </c>
    </row>
    <row r="5" spans="1:5" ht="81.75" thickBot="1" x14ac:dyDescent="0.3">
      <c r="A5" s="13" t="s">
        <v>84</v>
      </c>
      <c r="B5" s="14" t="s">
        <v>94</v>
      </c>
      <c r="C5" s="14" t="s">
        <v>95</v>
      </c>
      <c r="D5" s="14" t="s">
        <v>123</v>
      </c>
    </row>
    <row r="6" spans="1:5" ht="81.75" thickBot="1" x14ac:dyDescent="0.3">
      <c r="A6" s="13" t="s">
        <v>96</v>
      </c>
      <c r="B6" s="14" t="s">
        <v>97</v>
      </c>
      <c r="C6" s="14" t="s">
        <v>98</v>
      </c>
      <c r="D6" s="14" t="s">
        <v>124</v>
      </c>
    </row>
    <row r="7" spans="1:5" ht="54.75" thickBot="1" x14ac:dyDescent="0.3">
      <c r="A7" s="13" t="s">
        <v>86</v>
      </c>
      <c r="B7" s="14" t="s">
        <v>99</v>
      </c>
      <c r="C7" s="14" t="s">
        <v>100</v>
      </c>
      <c r="D7" s="14" t="s">
        <v>101</v>
      </c>
    </row>
    <row r="8" spans="1:5" ht="54.75" thickBot="1" x14ac:dyDescent="0.3">
      <c r="A8" s="13" t="s">
        <v>85</v>
      </c>
      <c r="B8" s="14" t="s">
        <v>102</v>
      </c>
      <c r="C8" s="14" t="s">
        <v>103</v>
      </c>
      <c r="D8" s="14" t="s">
        <v>104</v>
      </c>
    </row>
    <row r="9" spans="1:5" ht="54.75" thickBot="1" x14ac:dyDescent="0.3">
      <c r="A9" s="13" t="s">
        <v>105</v>
      </c>
      <c r="B9" s="14" t="s">
        <v>106</v>
      </c>
      <c r="C9" s="14" t="s">
        <v>107</v>
      </c>
      <c r="D9" s="14" t="s">
        <v>125</v>
      </c>
    </row>
    <row r="10" spans="1:5" ht="81.75" thickBot="1" x14ac:dyDescent="0.3">
      <c r="A10" s="13" t="s">
        <v>108</v>
      </c>
      <c r="B10" s="14" t="s">
        <v>109</v>
      </c>
      <c r="C10" s="14" t="s">
        <v>110</v>
      </c>
      <c r="D10" s="14" t="s">
        <v>111</v>
      </c>
    </row>
    <row r="11" spans="1:5" ht="54.75" thickBot="1" x14ac:dyDescent="0.3">
      <c r="A11" s="13" t="s">
        <v>112</v>
      </c>
      <c r="B11" s="14" t="s">
        <v>113</v>
      </c>
      <c r="C11" s="14" t="s">
        <v>114</v>
      </c>
      <c r="D11" s="14" t="s">
        <v>115</v>
      </c>
    </row>
    <row r="12" spans="1:5" ht="54.75" thickBot="1" x14ac:dyDescent="0.3">
      <c r="A12" s="13" t="s">
        <v>116</v>
      </c>
      <c r="B12" s="14" t="s">
        <v>117</v>
      </c>
      <c r="C12" s="14" t="s">
        <v>118</v>
      </c>
      <c r="D12" s="14" t="s">
        <v>119</v>
      </c>
    </row>
    <row r="14" spans="1:5" x14ac:dyDescent="0.25">
      <c r="A14" s="24" t="s">
        <v>120</v>
      </c>
      <c r="B14" s="24"/>
      <c r="C14" s="24"/>
      <c r="D14" s="24"/>
    </row>
    <row r="15" spans="1:5" x14ac:dyDescent="0.25">
      <c r="A15" s="24" t="s">
        <v>126</v>
      </c>
      <c r="B15" s="24"/>
      <c r="C15" s="24"/>
      <c r="D15" s="24"/>
    </row>
    <row r="16" spans="1:5" x14ac:dyDescent="0.25">
      <c r="A16" s="24" t="s">
        <v>127</v>
      </c>
      <c r="B16" s="24"/>
      <c r="C16" s="24"/>
      <c r="D16" s="24"/>
    </row>
    <row r="17" spans="1:4" x14ac:dyDescent="0.25">
      <c r="A17" s="24" t="s">
        <v>128</v>
      </c>
      <c r="B17" s="24"/>
      <c r="C17" s="24"/>
      <c r="D17" s="24"/>
    </row>
    <row r="18" spans="1:4" x14ac:dyDescent="0.25">
      <c r="A18" s="24" t="s">
        <v>129</v>
      </c>
      <c r="B18" s="24"/>
      <c r="C18" s="24"/>
      <c r="D18" s="24"/>
    </row>
    <row r="19" spans="1:4" ht="27.75" thickBot="1" x14ac:dyDescent="0.3">
      <c r="A19" s="24"/>
      <c r="B19" s="24"/>
      <c r="C19" s="24"/>
      <c r="D19" s="24"/>
    </row>
    <row r="20" spans="1:4" ht="27.75" thickBot="1" x14ac:dyDescent="0.3">
      <c r="A20" s="13" t="s">
        <v>130</v>
      </c>
      <c r="B20" s="14" t="s">
        <v>131</v>
      </c>
      <c r="C20" s="14" t="s">
        <v>132</v>
      </c>
    </row>
    <row r="21" spans="1:4" ht="27.75" thickBot="1" x14ac:dyDescent="0.3">
      <c r="A21" s="13" t="s">
        <v>84</v>
      </c>
      <c r="B21" s="14" t="s">
        <v>133</v>
      </c>
      <c r="C21" s="14" t="s">
        <v>148</v>
      </c>
    </row>
    <row r="22" spans="1:4" ht="27.75" thickBot="1" x14ac:dyDescent="0.3">
      <c r="A22" s="13" t="s">
        <v>96</v>
      </c>
      <c r="B22" s="14" t="s">
        <v>134</v>
      </c>
      <c r="C22" s="14" t="s">
        <v>135</v>
      </c>
    </row>
    <row r="23" spans="1:4" ht="27.75" thickBot="1" x14ac:dyDescent="0.3">
      <c r="A23" s="13" t="s">
        <v>86</v>
      </c>
      <c r="B23" s="14" t="s">
        <v>136</v>
      </c>
      <c r="C23" s="14" t="s">
        <v>137</v>
      </c>
    </row>
    <row r="24" spans="1:4" ht="27.75" thickBot="1" x14ac:dyDescent="0.3">
      <c r="A24" s="13" t="s">
        <v>85</v>
      </c>
      <c r="B24" s="14" t="s">
        <v>138</v>
      </c>
      <c r="C24" s="14" t="s">
        <v>139</v>
      </c>
    </row>
    <row r="25" spans="1:4" ht="27.75" thickBot="1" x14ac:dyDescent="0.3">
      <c r="A25" s="13" t="s">
        <v>105</v>
      </c>
      <c r="B25" s="14" t="s">
        <v>140</v>
      </c>
      <c r="C25" s="14" t="s">
        <v>147</v>
      </c>
    </row>
    <row r="26" spans="1:4" ht="27.75" thickBot="1" x14ac:dyDescent="0.3">
      <c r="A26" s="13" t="s">
        <v>108</v>
      </c>
      <c r="B26" s="14" t="s">
        <v>141</v>
      </c>
      <c r="C26" s="14" t="s">
        <v>142</v>
      </c>
    </row>
    <row r="27" spans="1:4" ht="27.75" thickBot="1" x14ac:dyDescent="0.3">
      <c r="A27" s="13" t="s">
        <v>112</v>
      </c>
      <c r="B27" s="14" t="s">
        <v>143</v>
      </c>
      <c r="C27" s="14" t="s">
        <v>144</v>
      </c>
    </row>
    <row r="28" spans="1:4" ht="27.75" thickBot="1" x14ac:dyDescent="0.3">
      <c r="A28" s="13" t="s">
        <v>116</v>
      </c>
      <c r="B28" s="14" t="s">
        <v>145</v>
      </c>
      <c r="C28" s="14" t="s">
        <v>146</v>
      </c>
    </row>
  </sheetData>
  <mergeCells count="9">
    <mergeCell ref="A16:D16"/>
    <mergeCell ref="A17:D17"/>
    <mergeCell ref="A18:D18"/>
    <mergeCell ref="A19:D19"/>
    <mergeCell ref="A1:D1"/>
    <mergeCell ref="A2:D2"/>
    <mergeCell ref="A3:D3"/>
    <mergeCell ref="A14:D14"/>
    <mergeCell ref="A15:D1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80E1D-E449-40C0-AEDB-381046B45B92}">
  <sheetPr codeName="工作表47"/>
  <dimension ref="A1:Z100"/>
  <sheetViews>
    <sheetView workbookViewId="0">
      <selection activeCell="L28" sqref="L28"/>
    </sheetView>
  </sheetViews>
  <sheetFormatPr defaultRowHeight="17.25" x14ac:dyDescent="0.25"/>
  <cols>
    <col min="1" max="2" width="9" style="1"/>
    <col min="3" max="3" width="93.125" style="1" bestFit="1" customWidth="1"/>
    <col min="4" max="16384" width="9" style="1"/>
  </cols>
  <sheetData>
    <row r="1" spans="1:26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spans="1:26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ht="38.25" x14ac:dyDescent="0.25">
      <c r="A3" s="8"/>
      <c r="B3" s="8"/>
      <c r="C3" s="9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C609-68E5-4C36-9ECE-4158B3DC08BA}">
  <dimension ref="A3:M11"/>
  <sheetViews>
    <sheetView workbookViewId="0"/>
  </sheetViews>
  <sheetFormatPr defaultRowHeight="22.5" x14ac:dyDescent="0.25"/>
  <cols>
    <col min="1" max="1" width="16.625" style="3" customWidth="1"/>
    <col min="2" max="2" width="24.75" style="3" bestFit="1" customWidth="1"/>
    <col min="3" max="3" width="16" style="3" bestFit="1" customWidth="1"/>
    <col min="4" max="4" width="19.875" style="3" bestFit="1" customWidth="1"/>
    <col min="5" max="5" width="14" style="3" bestFit="1" customWidth="1"/>
    <col min="6" max="6" width="16" style="3" bestFit="1" customWidth="1"/>
    <col min="7" max="7" width="20.5" style="3" bestFit="1" customWidth="1"/>
    <col min="8" max="8" width="23.875" style="3" bestFit="1" customWidth="1"/>
    <col min="9" max="9" width="16.875" style="3" bestFit="1" customWidth="1"/>
    <col min="10" max="10" width="24.25" style="3" bestFit="1" customWidth="1"/>
    <col min="11" max="11" width="26.375" style="3" bestFit="1" customWidth="1"/>
    <col min="12" max="12" width="26.625" style="3" bestFit="1" customWidth="1"/>
    <col min="13" max="13" width="11.375" style="3" bestFit="1" customWidth="1"/>
    <col min="14" max="16384" width="9" style="3"/>
  </cols>
  <sheetData>
    <row r="3" spans="1:13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</row>
    <row r="4" spans="1:13" x14ac:dyDescent="0.25">
      <c r="A4" s="3" t="s">
        <v>14</v>
      </c>
      <c r="B4" s="4">
        <v>46066.722916666666</v>
      </c>
      <c r="C4" s="3" t="s">
        <v>84</v>
      </c>
      <c r="D4" s="3" t="s">
        <v>16</v>
      </c>
      <c r="E4" s="3">
        <v>72</v>
      </c>
      <c r="F4" s="3" t="s">
        <v>17</v>
      </c>
      <c r="G4" s="3">
        <v>34.799999999999997</v>
      </c>
      <c r="H4" s="3">
        <v>2505.6</v>
      </c>
      <c r="I4" s="3" t="s">
        <v>18</v>
      </c>
      <c r="J4" s="3" t="s">
        <v>19</v>
      </c>
      <c r="K4" s="3" t="s">
        <v>20</v>
      </c>
    </row>
    <row r="5" spans="1:13" x14ac:dyDescent="0.25">
      <c r="A5" s="3" t="s">
        <v>21</v>
      </c>
      <c r="B5" s="4">
        <v>46070.718055555553</v>
      </c>
      <c r="C5" s="3" t="s">
        <v>85</v>
      </c>
      <c r="D5" s="3" t="s">
        <v>23</v>
      </c>
      <c r="E5" s="3">
        <v>502</v>
      </c>
      <c r="F5" s="3" t="s">
        <v>24</v>
      </c>
      <c r="G5" s="3">
        <v>31.5</v>
      </c>
      <c r="H5" s="3">
        <v>15813</v>
      </c>
      <c r="I5" s="3" t="s">
        <v>25</v>
      </c>
      <c r="J5" s="3" t="s">
        <v>26</v>
      </c>
      <c r="K5" s="3" t="s">
        <v>20</v>
      </c>
    </row>
    <row r="6" spans="1:13" x14ac:dyDescent="0.25">
      <c r="A6" s="3" t="s">
        <v>27</v>
      </c>
      <c r="B6" s="4">
        <v>46070.717361111114</v>
      </c>
      <c r="C6" s="3" t="s">
        <v>84</v>
      </c>
      <c r="D6" s="3" t="s">
        <v>28</v>
      </c>
      <c r="E6" s="3">
        <v>5001</v>
      </c>
      <c r="F6" s="3" t="s">
        <v>24</v>
      </c>
      <c r="G6" s="3">
        <v>31.5</v>
      </c>
      <c r="H6" s="3">
        <v>157531.5</v>
      </c>
      <c r="I6" s="3" t="s">
        <v>25</v>
      </c>
      <c r="J6" s="3" t="s">
        <v>26</v>
      </c>
      <c r="K6" s="3" t="s">
        <v>20</v>
      </c>
    </row>
    <row r="7" spans="1:13" x14ac:dyDescent="0.25">
      <c r="A7" s="3" t="s">
        <v>29</v>
      </c>
      <c r="B7" s="4">
        <v>46063.490972222222</v>
      </c>
      <c r="C7" s="3" t="s">
        <v>86</v>
      </c>
      <c r="D7" s="3" t="s">
        <v>31</v>
      </c>
      <c r="E7" s="3">
        <v>400</v>
      </c>
      <c r="F7" s="3" t="s">
        <v>32</v>
      </c>
      <c r="G7" s="3">
        <v>0.33</v>
      </c>
      <c r="H7" s="3">
        <v>132</v>
      </c>
      <c r="I7" s="3" t="s">
        <v>33</v>
      </c>
      <c r="J7" s="3" t="s">
        <v>33</v>
      </c>
      <c r="K7" s="3" t="s">
        <v>34</v>
      </c>
      <c r="L7" s="3" t="s">
        <v>35</v>
      </c>
    </row>
    <row r="8" spans="1:13" x14ac:dyDescent="0.25">
      <c r="A8" s="3" t="s">
        <v>36</v>
      </c>
      <c r="B8" s="4">
        <v>46063.490972222222</v>
      </c>
      <c r="C8" s="3" t="s">
        <v>84</v>
      </c>
      <c r="D8" s="3" t="s">
        <v>37</v>
      </c>
      <c r="E8" s="3">
        <v>500</v>
      </c>
      <c r="F8" s="3" t="s">
        <v>32</v>
      </c>
      <c r="G8" s="3">
        <v>0.33</v>
      </c>
      <c r="H8" s="3">
        <v>165</v>
      </c>
      <c r="I8" s="3" t="s">
        <v>33</v>
      </c>
      <c r="J8" s="3" t="s">
        <v>33</v>
      </c>
      <c r="K8" s="3" t="s">
        <v>34</v>
      </c>
      <c r="L8" s="3" t="s">
        <v>35</v>
      </c>
    </row>
    <row r="9" spans="1:13" x14ac:dyDescent="0.25">
      <c r="A9" s="3" t="s">
        <v>38</v>
      </c>
      <c r="B9" s="4">
        <v>46063.490277777775</v>
      </c>
      <c r="C9" s="3" t="s">
        <v>84</v>
      </c>
      <c r="D9" s="3" t="s">
        <v>39</v>
      </c>
      <c r="E9" s="3">
        <v>700</v>
      </c>
      <c r="F9" s="3" t="s">
        <v>24</v>
      </c>
      <c r="G9" s="3">
        <v>40</v>
      </c>
      <c r="H9" s="3">
        <v>28000</v>
      </c>
      <c r="I9" s="3" t="s">
        <v>18</v>
      </c>
      <c r="J9" s="3" t="s">
        <v>26</v>
      </c>
      <c r="K9" s="3" t="s">
        <v>34</v>
      </c>
      <c r="L9" s="3" t="s">
        <v>40</v>
      </c>
    </row>
    <row r="10" spans="1:13" x14ac:dyDescent="0.25">
      <c r="A10" s="3" t="s">
        <v>41</v>
      </c>
      <c r="B10" s="4">
        <v>46063.489583333336</v>
      </c>
      <c r="C10" s="3" t="s">
        <v>84</v>
      </c>
      <c r="D10" s="3" t="s">
        <v>42</v>
      </c>
      <c r="E10" s="3">
        <v>35</v>
      </c>
      <c r="F10" s="3" t="s">
        <v>24</v>
      </c>
      <c r="G10" s="3">
        <v>31.5</v>
      </c>
      <c r="H10" s="3">
        <v>1102.5</v>
      </c>
      <c r="I10" s="3" t="s">
        <v>18</v>
      </c>
      <c r="J10" s="3" t="s">
        <v>18</v>
      </c>
      <c r="K10" s="3" t="s">
        <v>20</v>
      </c>
    </row>
    <row r="11" spans="1:13" x14ac:dyDescent="0.25">
      <c r="A11" s="3" t="s">
        <v>43</v>
      </c>
      <c r="B11" s="4">
        <v>46063.489583333336</v>
      </c>
      <c r="C11" s="3" t="s">
        <v>84</v>
      </c>
      <c r="D11" s="3" t="s">
        <v>44</v>
      </c>
      <c r="E11" s="3">
        <v>500</v>
      </c>
      <c r="F11" s="3" t="s">
        <v>24</v>
      </c>
      <c r="G11" s="3">
        <v>31.5</v>
      </c>
      <c r="H11" s="3">
        <v>15750</v>
      </c>
      <c r="I11" s="3" t="s">
        <v>18</v>
      </c>
      <c r="J11" s="3" t="s">
        <v>18</v>
      </c>
      <c r="K11" s="3" t="s">
        <v>20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95053-17D8-48D8-8000-CC08886AA976}">
  <dimension ref="A3:G7"/>
  <sheetViews>
    <sheetView workbookViewId="0"/>
  </sheetViews>
  <sheetFormatPr defaultRowHeight="22.5" x14ac:dyDescent="0.25"/>
  <cols>
    <col min="1" max="1" width="16.625" style="3" customWidth="1"/>
    <col min="2" max="2" width="17.625" style="3" bestFit="1" customWidth="1"/>
    <col min="3" max="3" width="16" style="3" bestFit="1" customWidth="1"/>
    <col min="4" max="4" width="25.75" style="3" bestFit="1" customWidth="1"/>
    <col min="5" max="5" width="14.625" style="3" bestFit="1" customWidth="1"/>
    <col min="6" max="6" width="9.5" style="3" bestFit="1" customWidth="1"/>
    <col min="7" max="7" width="40" style="3" bestFit="1" customWidth="1"/>
    <col min="8" max="16384" width="9" style="3"/>
  </cols>
  <sheetData>
    <row r="3" spans="1:7" x14ac:dyDescent="0.25">
      <c r="A3" s="3" t="s">
        <v>11</v>
      </c>
      <c r="B3" s="3" t="s">
        <v>45</v>
      </c>
      <c r="C3" s="3" t="s">
        <v>5</v>
      </c>
      <c r="D3" s="3" t="s">
        <v>46</v>
      </c>
      <c r="E3" s="3" t="s">
        <v>47</v>
      </c>
      <c r="F3" s="3" t="s">
        <v>48</v>
      </c>
      <c r="G3" s="3" t="s">
        <v>49</v>
      </c>
    </row>
    <row r="4" spans="1:7" x14ac:dyDescent="0.25">
      <c r="A4" s="3" t="s">
        <v>40</v>
      </c>
      <c r="B4" s="3" t="s">
        <v>18</v>
      </c>
      <c r="C4" s="3" t="s">
        <v>24</v>
      </c>
      <c r="D4" s="3">
        <v>50000</v>
      </c>
      <c r="E4" s="3">
        <v>49300</v>
      </c>
      <c r="F4" s="3">
        <v>40</v>
      </c>
      <c r="G4" s="3" t="s">
        <v>50</v>
      </c>
    </row>
    <row r="5" spans="1:7" x14ac:dyDescent="0.25">
      <c r="A5" s="3" t="s">
        <v>35</v>
      </c>
      <c r="B5" s="3" t="s">
        <v>33</v>
      </c>
      <c r="C5" s="3" t="s">
        <v>32</v>
      </c>
      <c r="D5" s="3">
        <v>50000</v>
      </c>
      <c r="E5" s="3">
        <v>49100</v>
      </c>
      <c r="F5" s="3">
        <v>0.33</v>
      </c>
      <c r="G5" s="3" t="s">
        <v>51</v>
      </c>
    </row>
    <row r="6" spans="1:7" x14ac:dyDescent="0.25">
      <c r="A6" s="3" t="s">
        <v>69</v>
      </c>
      <c r="B6" s="3" t="s">
        <v>18</v>
      </c>
      <c r="C6" s="3" t="s">
        <v>32</v>
      </c>
      <c r="D6" s="3">
        <v>56000</v>
      </c>
      <c r="E6" s="3">
        <v>56000</v>
      </c>
      <c r="F6" s="3">
        <v>0.35</v>
      </c>
      <c r="G6" s="3" t="s">
        <v>74</v>
      </c>
    </row>
    <row r="7" spans="1:7" x14ac:dyDescent="0.25">
      <c r="A7" s="3" t="s">
        <v>70</v>
      </c>
      <c r="B7" s="3" t="s">
        <v>18</v>
      </c>
      <c r="C7" s="3" t="s">
        <v>17</v>
      </c>
      <c r="D7" s="3">
        <v>70000</v>
      </c>
      <c r="E7" s="3">
        <v>68000</v>
      </c>
      <c r="F7" s="3">
        <v>33</v>
      </c>
      <c r="G7" s="3" t="s">
        <v>75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BA83-EE92-49BF-9587-8172F3C59F74}">
  <dimension ref="A3:Q14"/>
  <sheetViews>
    <sheetView tabSelected="1" workbookViewId="0"/>
  </sheetViews>
  <sheetFormatPr defaultRowHeight="23.25" x14ac:dyDescent="0.25"/>
  <cols>
    <col min="1" max="1" width="16.625" style="3" customWidth="1"/>
    <col min="2" max="2" width="12.75" style="3" bestFit="1" customWidth="1"/>
    <col min="3" max="3" width="11.5" style="7" bestFit="1" customWidth="1"/>
    <col min="4" max="4" width="12.75" style="3" bestFit="1" customWidth="1"/>
    <col min="5" max="5" width="14.5" style="7" bestFit="1" customWidth="1"/>
    <col min="6" max="7" width="9.5" style="3" bestFit="1" customWidth="1"/>
    <col min="8" max="8" width="12.25" style="3" bestFit="1" customWidth="1"/>
    <col min="9" max="9" width="24.625" style="3" bestFit="1" customWidth="1"/>
    <col min="10" max="10" width="16.625" style="3" bestFit="1" customWidth="1"/>
    <col min="11" max="11" width="39.75" style="7" bestFit="1" customWidth="1"/>
    <col min="12" max="12" width="18.5" style="3" bestFit="1" customWidth="1"/>
    <col min="13" max="13" width="9" style="3"/>
    <col min="14" max="14" width="12.75" style="16" bestFit="1" customWidth="1"/>
    <col min="15" max="15" width="18" style="7" bestFit="1" customWidth="1"/>
    <col min="16" max="16" width="19.25" style="10" bestFit="1" customWidth="1"/>
    <col min="17" max="17" width="18.375" style="20" bestFit="1" customWidth="1"/>
    <col min="18" max="16384" width="9" style="3"/>
  </cols>
  <sheetData>
    <row r="3" spans="1:17" ht="39.950000000000003" customHeight="1" x14ac:dyDescent="0.25">
      <c r="A3" s="3" t="s">
        <v>52</v>
      </c>
      <c r="B3" s="3" t="s">
        <v>60</v>
      </c>
      <c r="C3" s="7" t="s">
        <v>76</v>
      </c>
      <c r="D3" s="3" t="s">
        <v>53</v>
      </c>
      <c r="E3" s="7" t="s">
        <v>77</v>
      </c>
      <c r="F3" s="3" t="s">
        <v>54</v>
      </c>
      <c r="G3" s="3" t="s">
        <v>55</v>
      </c>
      <c r="H3" s="3" t="s">
        <v>68</v>
      </c>
      <c r="I3" s="3" t="s">
        <v>56</v>
      </c>
      <c r="J3" s="3" t="s">
        <v>57</v>
      </c>
      <c r="K3" s="7" t="s">
        <v>78</v>
      </c>
      <c r="L3" s="3" t="s">
        <v>58</v>
      </c>
      <c r="N3" s="15" t="s">
        <v>149</v>
      </c>
      <c r="O3" s="17" t="s">
        <v>151</v>
      </c>
      <c r="P3" s="18" t="s">
        <v>79</v>
      </c>
      <c r="Q3" s="19" t="s">
        <v>80</v>
      </c>
    </row>
    <row r="4" spans="1:17" ht="39.950000000000003" customHeight="1" x14ac:dyDescent="0.25">
      <c r="A4" s="5">
        <v>46063</v>
      </c>
      <c r="B4" s="3" t="s">
        <v>64</v>
      </c>
      <c r="C4" s="7" t="s">
        <v>88</v>
      </c>
      <c r="D4" s="3" t="s">
        <v>31</v>
      </c>
      <c r="E4" s="7" t="s">
        <v>63</v>
      </c>
      <c r="F4" s="3" t="s">
        <v>34</v>
      </c>
      <c r="G4" s="3" t="s">
        <v>32</v>
      </c>
      <c r="H4" s="3">
        <v>400</v>
      </c>
      <c r="I4" s="3">
        <v>0.33</v>
      </c>
      <c r="J4" s="3">
        <v>132</v>
      </c>
      <c r="K4" s="7" t="s">
        <v>63</v>
      </c>
      <c r="L4" s="3">
        <v>132</v>
      </c>
      <c r="N4" s="21" t="s">
        <v>154</v>
      </c>
      <c r="O4" s="17" t="s">
        <v>152</v>
      </c>
      <c r="P4" s="18">
        <v>188202.1</v>
      </c>
      <c r="Q4" s="19">
        <v>0.92189455544555865</v>
      </c>
    </row>
    <row r="5" spans="1:17" ht="39.950000000000003" customHeight="1" x14ac:dyDescent="0.25">
      <c r="A5" s="5">
        <v>46063</v>
      </c>
      <c r="B5" s="3" t="s">
        <v>64</v>
      </c>
      <c r="C5" s="7" t="s">
        <v>87</v>
      </c>
      <c r="D5" s="3" t="s">
        <v>37</v>
      </c>
      <c r="E5" s="7" t="s">
        <v>63</v>
      </c>
      <c r="F5" s="3" t="s">
        <v>34</v>
      </c>
      <c r="G5" s="3" t="s">
        <v>32</v>
      </c>
      <c r="H5" s="3">
        <v>500</v>
      </c>
      <c r="I5" s="3">
        <v>0.33</v>
      </c>
      <c r="J5" s="3">
        <v>165</v>
      </c>
      <c r="K5" s="7" t="s">
        <v>63</v>
      </c>
      <c r="L5" s="3">
        <v>165</v>
      </c>
      <c r="N5" s="22" t="s">
        <v>155</v>
      </c>
      <c r="O5" s="17" t="s">
        <v>158</v>
      </c>
      <c r="P5" s="18">
        <v>15813</v>
      </c>
      <c r="Q5" s="19">
        <v>7.7458851974874982E-2</v>
      </c>
    </row>
    <row r="6" spans="1:17" ht="39.950000000000003" customHeight="1" x14ac:dyDescent="0.25">
      <c r="A6" s="5">
        <v>46063</v>
      </c>
      <c r="B6" s="3" t="s">
        <v>61</v>
      </c>
      <c r="C6" s="7" t="s">
        <v>87</v>
      </c>
      <c r="D6" s="3" t="s">
        <v>39</v>
      </c>
      <c r="E6" s="7" t="s">
        <v>62</v>
      </c>
      <c r="F6" s="3" t="s">
        <v>34</v>
      </c>
      <c r="G6" s="3" t="s">
        <v>24</v>
      </c>
      <c r="H6" s="3">
        <v>700</v>
      </c>
      <c r="I6" s="3">
        <v>40</v>
      </c>
      <c r="J6" s="3">
        <v>28000</v>
      </c>
      <c r="K6" s="7" t="s">
        <v>83</v>
      </c>
      <c r="L6" s="3">
        <v>14000</v>
      </c>
      <c r="N6" s="23" t="s">
        <v>156</v>
      </c>
      <c r="O6" s="17" t="s">
        <v>153</v>
      </c>
      <c r="P6" s="18">
        <v>132</v>
      </c>
      <c r="Q6" s="19">
        <v>6.4659257956640093E-4</v>
      </c>
    </row>
    <row r="7" spans="1:17" ht="39.950000000000003" customHeight="1" x14ac:dyDescent="0.25">
      <c r="A7" s="5">
        <v>46066</v>
      </c>
      <c r="B7" s="3" t="s">
        <v>61</v>
      </c>
      <c r="C7" s="7" t="s">
        <v>87</v>
      </c>
      <c r="D7" s="3" t="s">
        <v>16</v>
      </c>
      <c r="E7" s="7" t="s">
        <v>62</v>
      </c>
      <c r="F7" s="3" t="s">
        <v>20</v>
      </c>
      <c r="G7" s="3" t="s">
        <v>17</v>
      </c>
      <c r="H7" s="3">
        <v>72</v>
      </c>
      <c r="I7" s="3">
        <v>34.799999999999997</v>
      </c>
      <c r="J7" s="3">
        <v>2505.6</v>
      </c>
      <c r="K7" s="7" t="s">
        <v>82</v>
      </c>
      <c r="L7" s="3">
        <v>835.19999999999993</v>
      </c>
      <c r="N7" s="15" t="s">
        <v>150</v>
      </c>
      <c r="O7" s="17"/>
      <c r="P7" s="18">
        <f>SUBTOTAL(109,Tbl_Summary_Group_Details_N3[總金額])</f>
        <v>204147.1</v>
      </c>
      <c r="Q7" s="19">
        <f>SUBTOTAL(109,Tbl_Summary_Group_Details_N3[佔比 (%)])</f>
        <v>1</v>
      </c>
    </row>
    <row r="8" spans="1:17" x14ac:dyDescent="0.25">
      <c r="A8" s="5">
        <v>46070</v>
      </c>
      <c r="B8" s="3" t="s">
        <v>61</v>
      </c>
      <c r="C8" s="7" t="s">
        <v>157</v>
      </c>
      <c r="D8" s="3" t="s">
        <v>23</v>
      </c>
      <c r="E8" s="7" t="s">
        <v>81</v>
      </c>
      <c r="F8" s="3" t="s">
        <v>20</v>
      </c>
      <c r="G8" s="3" t="s">
        <v>24</v>
      </c>
      <c r="H8" s="3">
        <v>502</v>
      </c>
      <c r="I8" s="3">
        <v>31.5</v>
      </c>
      <c r="J8" s="3">
        <v>15813</v>
      </c>
      <c r="K8" s="7" t="s">
        <v>83</v>
      </c>
      <c r="L8" s="3">
        <v>7906.5</v>
      </c>
    </row>
    <row r="9" spans="1:17" x14ac:dyDescent="0.25">
      <c r="A9" s="5">
        <v>46070</v>
      </c>
      <c r="B9" s="3" t="s">
        <v>61</v>
      </c>
      <c r="C9" s="7" t="s">
        <v>87</v>
      </c>
      <c r="D9" s="3" t="s">
        <v>28</v>
      </c>
      <c r="E9" s="7" t="s">
        <v>81</v>
      </c>
      <c r="F9" s="3" t="s">
        <v>20</v>
      </c>
      <c r="G9" s="3" t="s">
        <v>24</v>
      </c>
      <c r="H9" s="3">
        <v>5001</v>
      </c>
      <c r="I9" s="3">
        <v>31.5</v>
      </c>
      <c r="J9" s="3">
        <v>157531.5</v>
      </c>
      <c r="K9" s="7" t="s">
        <v>83</v>
      </c>
      <c r="L9" s="3">
        <v>78765.75</v>
      </c>
    </row>
    <row r="10" spans="1:17" x14ac:dyDescent="0.25">
      <c r="A10" s="3" t="s">
        <v>59</v>
      </c>
      <c r="H10" s="3">
        <f>SUBTOTAL(109,表格3[原幣額])</f>
        <v>7175</v>
      </c>
      <c r="J10" s="3">
        <f>SUBTOTAL(109,表格3[台幣總額])</f>
        <v>204147.1</v>
      </c>
      <c r="L10" s="3">
        <f>SUBTOTAL(109,表格3[每人應攤])</f>
        <v>101804.45</v>
      </c>
    </row>
    <row r="12" spans="1:17" ht="31.5" x14ac:dyDescent="0.25">
      <c r="I12" s="6" t="s">
        <v>65</v>
      </c>
      <c r="J12" s="6">
        <v>900</v>
      </c>
    </row>
    <row r="13" spans="1:17" ht="31.5" x14ac:dyDescent="0.25">
      <c r="I13" s="6" t="s">
        <v>66</v>
      </c>
      <c r="J13" s="6">
        <v>6203</v>
      </c>
    </row>
    <row r="14" spans="1:17" ht="31.5" x14ac:dyDescent="0.25">
      <c r="I14" s="6" t="s">
        <v>67</v>
      </c>
      <c r="J14" s="6">
        <v>2505.6</v>
      </c>
    </row>
  </sheetData>
  <sortState xmlns:xlrd2="http://schemas.microsoft.com/office/spreadsheetml/2017/richdata2" ref="N4:Q6">
    <sortCondition descending="1" ref="P3"/>
  </sortState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Sys_DB_Expenses</vt:lpstr>
      <vt:lpstr>Sys_DB_Wallets</vt:lpstr>
      <vt:lpstr>記帳分類指南</vt:lpstr>
      <vt:lpstr>指揮中心</vt:lpstr>
      <vt:lpstr>Raw_Expenses</vt:lpstr>
      <vt:lpstr>Raw_Wallets</vt:lpstr>
      <vt:lpstr>Group_Details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Yang</dc:creator>
  <cp:lastModifiedBy>Smile Yang</cp:lastModifiedBy>
  <cp:lastPrinted>2026-02-22T03:59:13Z</cp:lastPrinted>
  <dcterms:created xsi:type="dcterms:W3CDTF">2026-02-17T06:35:15Z</dcterms:created>
  <dcterms:modified xsi:type="dcterms:W3CDTF">2026-02-22T04:04:09Z</dcterms:modified>
</cp:coreProperties>
</file>