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mile\Downloads\網頁設計\Expense\PWA_多人\PWA2\VBA\"/>
    </mc:Choice>
  </mc:AlternateContent>
  <xr:revisionPtr revIDLastSave="0" documentId="13_ncr:1_{B4F3602E-9A40-49BA-BBFA-649D4A18E218}" xr6:coauthVersionLast="47" xr6:coauthVersionMax="47" xr10:uidLastSave="{00000000-0000-0000-0000-000000000000}"/>
  <bookViews>
    <workbookView xWindow="-120" yWindow="-120" windowWidth="29040" windowHeight="15840" firstSheet="4" activeTab="8" xr2:uid="{0F62F40F-2940-40F7-9E06-81750AD34089}"/>
  </bookViews>
  <sheets>
    <sheet name="Sys_DB_Expenses" sheetId="98" state="hidden" r:id="rId1"/>
    <sheet name="Sys_DB_Wallets" sheetId="99" state="hidden" r:id="rId2"/>
    <sheet name="記帳分類指南" sheetId="391" r:id="rId3"/>
    <sheet name="指揮中心" sheetId="144" r:id="rId4"/>
    <sheet name="Raw_Expenses" sheetId="406" r:id="rId5"/>
    <sheet name="Raw_Wallets" sheetId="407" r:id="rId6"/>
    <sheet name="Group_Summary" sheetId="412" r:id="rId7"/>
    <sheet name="Group_Details" sheetId="420" r:id="rId8"/>
    <sheet name="PS_Smile" sheetId="421" r:id="rId9"/>
    <sheet name="PS_Jiani" sheetId="422" r:id="rId10"/>
    <sheet name="PS_Nomad" sheetId="423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4" i="423" l="1"/>
  <c r="P14" i="423"/>
  <c r="J14" i="423"/>
  <c r="I14" i="423"/>
  <c r="K14" i="423"/>
  <c r="O15" i="422"/>
  <c r="P15" i="422"/>
  <c r="J17" i="422"/>
  <c r="I17" i="422"/>
  <c r="K17" i="422"/>
  <c r="O18" i="421"/>
  <c r="P18" i="421"/>
  <c r="J22" i="421"/>
  <c r="I22" i="421"/>
  <c r="K22" i="421"/>
  <c r="E8" i="421"/>
  <c r="D8" i="421"/>
  <c r="C8" i="421"/>
  <c r="F8" i="421"/>
  <c r="P7" i="420"/>
  <c r="Q7" i="420"/>
  <c r="J10" i="420"/>
  <c r="H10" i="420"/>
  <c r="L10" i="420"/>
</calcChain>
</file>

<file path=xl/sharedStrings.xml><?xml version="1.0" encoding="utf-8"?>
<sst xmlns="http://schemas.openxmlformats.org/spreadsheetml/2006/main" count="520" uniqueCount="188">
  <si>
    <t>expenseId</t>
  </si>
  <si>
    <t>date</t>
  </si>
  <si>
    <t>category</t>
  </si>
  <si>
    <t>description</t>
  </si>
  <si>
    <t>amount</t>
  </si>
  <si>
    <t>currency</t>
  </si>
  <si>
    <t>appliedRate</t>
  </si>
  <si>
    <t>twdEquivalent</t>
  </si>
  <si>
    <t>payerUID</t>
  </si>
  <si>
    <t>shares</t>
  </si>
  <si>
    <t>paymentMethod</t>
  </si>
  <si>
    <t>walletId</t>
  </si>
  <si>
    <t>notes</t>
  </si>
  <si>
    <t>shareCount</t>
  </si>
  <si>
    <t>e177132006101941hq</t>
  </si>
  <si>
    <t>food</t>
  </si>
  <si>
    <t>火車票</t>
  </si>
  <si>
    <t>EUR</t>
  </si>
  <si>
    <t>u001</t>
  </si>
  <si>
    <t>u001|u002|u003</t>
  </si>
  <si>
    <t>credit</t>
  </si>
  <si>
    <t>e1771319666919vulk</t>
  </si>
  <si>
    <t>ticket</t>
  </si>
  <si>
    <t>印加古道</t>
  </si>
  <si>
    <t>USD</t>
  </si>
  <si>
    <t>u002</t>
  </si>
  <si>
    <t>u001|u002</t>
  </si>
  <si>
    <t>e17713196196831l0s</t>
  </si>
  <si>
    <t>登山團</t>
  </si>
  <si>
    <t>e1770695268320tf8p</t>
  </si>
  <si>
    <t>stay</t>
  </si>
  <si>
    <t>司</t>
  </si>
  <si>
    <t>JPY</t>
  </si>
  <si>
    <t>u004</t>
  </si>
  <si>
    <t>cash</t>
  </si>
  <si>
    <t>w1770695234668</t>
  </si>
  <si>
    <t>e1770695254451094h</t>
  </si>
  <si>
    <t>景</t>
  </si>
  <si>
    <t>e17706951607245owd</t>
  </si>
  <si>
    <t>央</t>
  </si>
  <si>
    <t>w1770695130028</t>
  </si>
  <si>
    <t>e17706951478926kvn</t>
  </si>
  <si>
    <t>縮</t>
  </si>
  <si>
    <t>e177069510280038cn</t>
  </si>
  <si>
    <t>個</t>
  </si>
  <si>
    <t>ownerUID</t>
  </si>
  <si>
    <t>originalAmount</t>
  </si>
  <si>
    <t>balance</t>
  </si>
  <si>
    <t>rate</t>
  </si>
  <si>
    <t>createdAt</t>
  </si>
  <si>
    <t>2026-02-10T03:45:30.028Z</t>
  </si>
  <si>
    <t>2026-02-10T03:47:14.668Z</t>
  </si>
  <si>
    <t>日期</t>
  </si>
  <si>
    <t>描述</t>
  </si>
  <si>
    <t>方式</t>
  </si>
  <si>
    <t>原幣</t>
  </si>
  <si>
    <t>匯率</t>
  </si>
  <si>
    <t>台幣總額</t>
  </si>
  <si>
    <t>每人應攤</t>
  </si>
  <si>
    <t>合計</t>
  </si>
  <si>
    <t>屬性</t>
  </si>
  <si>
    <t>幫人代墊</t>
  </si>
  <si>
    <t>🐬 Smile</t>
  </si>
  <si>
    <t>🍔 Shared</t>
  </si>
  <si>
    <t>公款支付</t>
  </si>
  <si>
    <t>JPY 總計</t>
  </si>
  <si>
    <t>USD 總計</t>
  </si>
  <si>
    <t>TWD 總負擔</t>
  </si>
  <si>
    <t>原幣額</t>
  </si>
  <si>
    <t>w1771383644138</t>
  </si>
  <si>
    <t>w1771383765050</t>
  </si>
  <si>
    <t>吃大餐</t>
  </si>
  <si>
    <t>e1771383786858tg84</t>
  </si>
  <si>
    <t>gear</t>
  </si>
  <si>
    <t>2026-02-18T03:00:44.138Z</t>
  </si>
  <si>
    <t>2026-02-18T03:02:45.050Z</t>
  </si>
  <si>
    <r>
      <rPr>
        <sz val="16"/>
        <color theme="1"/>
        <rFont val="Iansui"/>
        <family val="3"/>
        <charset val="136"/>
      </rPr>
      <t>類別</t>
    </r>
  </si>
  <si>
    <r>
      <rPr>
        <sz val="16"/>
        <color theme="1"/>
        <rFont val="Iansui"/>
        <family val="3"/>
        <charset val="136"/>
      </rPr>
      <t>支付者</t>
    </r>
  </si>
  <si>
    <r>
      <rPr>
        <sz val="16"/>
        <color theme="1"/>
        <rFont val="Iansui"/>
        <family val="3"/>
        <charset val="136"/>
      </rPr>
      <t>分攤名單</t>
    </r>
  </si>
  <si>
    <t>總金額</t>
  </si>
  <si>
    <t>佔比 (%)</t>
  </si>
  <si>
    <t>🌻 Jiani</t>
  </si>
  <si>
    <t>🐬 Smile, 🌻 Jiani, ⚽ Nomad</t>
  </si>
  <si>
    <t>🐬 Smile, 🌻 Jiani</t>
  </si>
  <si>
    <t>🍴 餐飲</t>
  </si>
  <si>
    <t>🎫 機票</t>
  </si>
  <si>
    <t>🏠 住宿</t>
  </si>
  <si>
    <r>
      <t xml:space="preserve">🍴 </t>
    </r>
    <r>
      <rPr>
        <sz val="16"/>
        <color theme="1"/>
        <rFont val="Iansui"/>
        <family val="3"/>
        <charset val="136"/>
      </rPr>
      <t>餐飲</t>
    </r>
  </si>
  <si>
    <r>
      <t xml:space="preserve">🏠 </t>
    </r>
    <r>
      <rPr>
        <sz val="16"/>
        <color theme="1"/>
        <rFont val="Iansui"/>
        <family val="3"/>
        <charset val="136"/>
      </rPr>
      <t>住宿</t>
    </r>
  </si>
  <si>
    <t>✈️ 歐洲旅遊共同記帳分類指南 (8大類別)</t>
  </si>
  <si>
    <t>類別與圖示</t>
  </si>
  <si>
    <t>大方向說明 (適用情境)</t>
  </si>
  <si>
    <t>常見具體項目 (輸入範例)</t>
  </si>
  <si>
    <t>記帳小提醒 (防呆指南)</t>
  </si>
  <si>
    <t>外食、餐廳、咖啡廳、路邊攤</t>
  </si>
  <si>
    <t>餐廳午晚餐、Cafe Sperl 咖啡甜點、冰淇淋、熱狗堡、酒吧喝酒。</t>
  </si>
  <si>
    <t>🚄 交通</t>
  </si>
  <si>
    <t>跨國移動、市內通勤、短程接駁</t>
  </si>
  <si>
    <t>OEBB跨國火車、FlixBus長途巴士、Regiojet、地鐵票、公車票、Uber、計程車。</t>
  </si>
  <si>
    <t>睡覺的地方及相關附加費用</t>
  </si>
  <si>
    <t>Airbnb 總價、飯店住宿費、青年旅館、當地城市稅 (City Tax)、清潔費。</t>
  </si>
  <si>
    <t>💡 訂房網或現場支付的「城市稅」通常是一起算的，請直接合併記在住宿即可。</t>
  </si>
  <si>
    <t>飛行相關的所有開銷</t>
  </si>
  <si>
    <t>台灣來回歐洲大段機票、歐洲內陸航段 (如 Ryanair)、加購行李費、選位費。</t>
  </si>
  <si>
    <t>💡 這是整趟旅程最大筆的單一支出，獨立出來方便日後檢討預算。</t>
  </si>
  <si>
    <t>🛒 超市</t>
  </si>
  <si>
    <t>量販店、超商的日常綜合採買</t>
  </si>
  <si>
    <t>SPAR、Lidl、Billa、Aldi 等超市買的瓶裝水、零食、泡麵、自炊生鮮食材。</t>
  </si>
  <si>
    <t>🎁 活動</t>
  </si>
  <si>
    <t>門票、娛樂體驗、伴手禮與紀念品</t>
  </si>
  <si>
    <t>塞切尼溫泉門票、皇宮/博物館參觀費、導覽費、買給家人的紀念品、明信片。</t>
  </si>
  <si>
    <t>💡 因為圖示是「禮物🎁」，所以除了「體驗行程」外，買來送人或紀念的物品也歸這裡。</t>
  </si>
  <si>
    <t>🧦 裝備</t>
  </si>
  <si>
    <t>出國前準備、旅行必需品 (通常在台灣就買好)</t>
  </si>
  <si>
    <t>旅遊平安/不便險、申根簽證、網卡(eSIM)、新買的背包、發熱衣、常備藥品。</t>
  </si>
  <si>
    <t>💡 主要是「行前開銷」，這些雖然不在當地花，但也是為了這趟旅行產生的費用。</t>
  </si>
  <si>
    <t>📦 雜支</t>
  </si>
  <si>
    <t>行政費用、手續費、或是真的不知道怎麼分的</t>
  </si>
  <si>
    <t>刷卡手續費、跨國提款手續費、匯差、付費廁所零錢、車站行李寄物櫃。</t>
  </si>
  <si>
    <t>💡 記帳遇到「選擇障礙」時的救星。只要不屬於上面 7 類的零星小花費，都丟這裡！</t>
  </si>
  <si>
    <t>💡 給旅伴的「記帳三秒原則」建議 (可以直接傳到群組)：</t>
  </si>
  <si>
    <r>
      <t>這是一份專門為你和旅伴們準備的</t>
    </r>
    <r>
      <rPr>
        <b/>
        <sz val="18"/>
        <color rgb="FF1F1F1F"/>
        <rFont val="Iansui"/>
        <family val="3"/>
        <charset val="136"/>
      </rPr>
      <t>「共同記帳分類指南」</t>
    </r>
    <r>
      <rPr>
        <sz val="18"/>
        <color rgb="FF1F1F1F"/>
        <rFont val="Iansui"/>
        <family val="3"/>
        <charset val="136"/>
      </rPr>
      <t>。我把說明寫得很具體，並加上了「易混淆提醒」，這樣大家在記帳時就不會猶豫不決了！</t>
    </r>
  </si>
  <si>
    <r>
      <t>你可以直接將下方的表格</t>
    </r>
    <r>
      <rPr>
        <b/>
        <sz val="18"/>
        <color rgb="FF1F1F1F"/>
        <rFont val="Iansui"/>
        <family val="3"/>
        <charset val="136"/>
      </rPr>
      <t>反白複製，然後貼上到 Excel 裡</t>
    </r>
    <r>
      <rPr>
        <sz val="18"/>
        <color rgb="FF1F1F1F"/>
        <rFont val="Iansui"/>
        <family val="3"/>
        <charset val="136"/>
      </rPr>
      <t>，它會自動對齊成完美的表格格式，非常方便分享給旅伴：</t>
    </r>
  </si>
  <si>
    <r>
      <t xml:space="preserve">💡 </t>
    </r>
    <r>
      <rPr>
        <b/>
        <sz val="18"/>
        <color rgb="FF1F1F1F"/>
        <rFont val="Iansui"/>
        <family val="3"/>
        <charset val="136"/>
      </rPr>
      <t>注意</t>
    </r>
    <r>
      <rPr>
        <sz val="18"/>
        <color rgb="FF1F1F1F"/>
        <rFont val="Iansui"/>
        <family val="3"/>
        <charset val="136"/>
      </rPr>
      <t>：如果是去超市買肉、買菜回 Airbnb 自己煮，請記在「超市」類，不要記在餐飲喔！</t>
    </r>
  </si>
  <si>
    <r>
      <t xml:space="preserve">💡 </t>
    </r>
    <r>
      <rPr>
        <b/>
        <sz val="18"/>
        <color rgb="FF1F1F1F"/>
        <rFont val="Iansui"/>
        <family val="3"/>
        <charset val="136"/>
      </rPr>
      <t>注意</t>
    </r>
    <r>
      <rPr>
        <sz val="18"/>
        <color rgb="FF1F1F1F"/>
        <rFont val="Iansui"/>
        <family val="3"/>
        <charset val="136"/>
      </rPr>
      <t>：飛機不算在這裡。所有的陸上與水上移動、當地交通卡都算此類。</t>
    </r>
  </si>
  <si>
    <r>
      <t xml:space="preserve">💡 </t>
    </r>
    <r>
      <rPr>
        <b/>
        <sz val="18"/>
        <color rgb="FF1F1F1F"/>
        <rFont val="Iansui"/>
        <family val="3"/>
        <charset val="136"/>
      </rPr>
      <t>最簡單的判斷法</t>
    </r>
    <r>
      <rPr>
        <sz val="18"/>
        <color rgb="FF1F1F1F"/>
        <rFont val="Iansui"/>
        <family val="3"/>
        <charset val="136"/>
      </rPr>
      <t>：只要發票上面印的是連鎖超市的名字，全部無腦記在這類！</t>
    </r>
  </si>
  <si>
    <r>
      <t xml:space="preserve">1. 吃進肚子裡的：外面買做好的 👉 </t>
    </r>
    <r>
      <rPr>
        <sz val="18"/>
        <color rgb="FF444746"/>
        <rFont val="Iansui"/>
        <family val="3"/>
        <charset val="136"/>
      </rPr>
      <t>🍴 餐飲</t>
    </r>
    <r>
      <rPr>
        <sz val="18"/>
        <color rgb="FF1F1F1F"/>
        <rFont val="Iansui"/>
        <family val="3"/>
        <charset val="136"/>
      </rPr>
      <t xml:space="preserve"> ／ 買回來自己做的 👉 </t>
    </r>
    <r>
      <rPr>
        <sz val="18"/>
        <color rgb="FF444746"/>
        <rFont val="Iansui"/>
        <family val="3"/>
        <charset val="136"/>
      </rPr>
      <t>🛒 超市</t>
    </r>
  </si>
  <si>
    <r>
      <t xml:space="preserve">2. 交通移動的：在天上飛的 👉 </t>
    </r>
    <r>
      <rPr>
        <sz val="18"/>
        <color rgb="FF444746"/>
        <rFont val="Iansui"/>
        <family val="3"/>
        <charset val="136"/>
      </rPr>
      <t>🎫 機票</t>
    </r>
    <r>
      <rPr>
        <sz val="18"/>
        <color rgb="FF1F1F1F"/>
        <rFont val="Iansui"/>
        <family val="3"/>
        <charset val="136"/>
      </rPr>
      <t xml:space="preserve"> ／ 在地上跑的 👉 </t>
    </r>
    <r>
      <rPr>
        <sz val="18"/>
        <color rgb="FF444746"/>
        <rFont val="Iansui"/>
        <family val="3"/>
        <charset val="136"/>
      </rPr>
      <t>🚄 交通</t>
    </r>
  </si>
  <si>
    <r>
      <t xml:space="preserve">3. 花錢買快樂的：門票、溫泉、紀念品 👉 </t>
    </r>
    <r>
      <rPr>
        <sz val="18"/>
        <color rgb="FF444746"/>
        <rFont val="Iansui"/>
        <family val="3"/>
        <charset val="136"/>
      </rPr>
      <t>🎁 活動</t>
    </r>
  </si>
  <si>
    <r>
      <t xml:space="preserve">4. 想不到放哪裡的：全部丟 👉 </t>
    </r>
    <r>
      <rPr>
        <sz val="18"/>
        <color rgb="FF444746"/>
        <rFont val="Iansui"/>
        <family val="3"/>
        <charset val="136"/>
      </rPr>
      <t>📦 雜支</t>
    </r>
  </si>
  <si>
    <t>類別圖示</t>
  </si>
  <si>
    <t>建議項目</t>
  </si>
  <si>
    <t>記帳要點</t>
  </si>
  <si>
    <t>餐廳、咖啡、路邊攤</t>
  </si>
  <si>
    <t>地鐵、火車、Uber</t>
  </si>
  <si>
    <t>陸地上跑的交通工具</t>
  </si>
  <si>
    <t>飯店、Airbnb、城市稅</t>
  </si>
  <si>
    <t>睡覺相關的總支出</t>
  </si>
  <si>
    <t>國際與歐內大段機票</t>
  </si>
  <si>
    <t>包含加購行李與選位</t>
  </si>
  <si>
    <t>SPAR、Billa、買菜自炊</t>
  </si>
  <si>
    <t>門票、溫泉、伴手禮</t>
  </si>
  <si>
    <t>體驗行程與買給人的禮物</t>
  </si>
  <si>
    <t>保險、網卡、行前購買</t>
  </si>
  <si>
    <t>出發前就產生的開銷</t>
  </si>
  <si>
    <t>廁所、寄物、刷卡手續費</t>
  </si>
  <si>
    <t>無法分類的零碎支出</t>
  </si>
  <si>
    <t>買生鮮食材與飲水首選</t>
    <phoneticPr fontId="1" type="noConversion"/>
  </si>
  <si>
    <t>外食才算這一類</t>
    <phoneticPr fontId="1" type="noConversion"/>
  </si>
  <si>
    <r>
      <rPr>
        <sz val="20"/>
        <color theme="1"/>
        <rFont val="Iansui"/>
        <family val="3"/>
        <charset val="136"/>
      </rPr>
      <t>圖例</t>
    </r>
  </si>
  <si>
    <r>
      <rPr>
        <sz val="20"/>
        <color theme="1"/>
        <rFont val="Iansui"/>
        <family val="3"/>
        <charset val="136"/>
      </rPr>
      <t>合計</t>
    </r>
  </si>
  <si>
    <r>
      <rPr>
        <sz val="20"/>
        <color theme="1"/>
        <rFont val="Iansui"/>
        <family val="3"/>
        <charset val="136"/>
      </rPr>
      <t>消費類別</t>
    </r>
  </si>
  <si>
    <r>
      <t xml:space="preserve">🍴 </t>
    </r>
    <r>
      <rPr>
        <sz val="20"/>
        <color theme="1"/>
        <rFont val="Iansui"/>
        <family val="3"/>
        <charset val="136"/>
      </rPr>
      <t>餐飲</t>
    </r>
  </si>
  <si>
    <r>
      <t xml:space="preserve">🏠 </t>
    </r>
    <r>
      <rPr>
        <sz val="20"/>
        <color theme="1"/>
        <rFont val="Iansui"/>
        <family val="3"/>
        <charset val="136"/>
      </rPr>
      <t>住宿</t>
    </r>
  </si>
  <si>
    <r>
      <rPr>
        <sz val="20"/>
        <color rgb="FF22C55E"/>
        <rFont val="Iansui"/>
        <family val="3"/>
        <charset val="136"/>
      </rPr>
      <t>●</t>
    </r>
  </si>
  <si>
    <r>
      <rPr>
        <sz val="20"/>
        <color rgb="FF3B82F6"/>
        <rFont val="Iansui"/>
        <family val="3"/>
        <charset val="136"/>
      </rPr>
      <t>●</t>
    </r>
  </si>
  <si>
    <r>
      <rPr>
        <sz val="20"/>
        <color rgb="FFF97316"/>
        <rFont val="Iansui"/>
        <family val="3"/>
        <charset val="136"/>
      </rPr>
      <t>●</t>
    </r>
  </si>
  <si>
    <r>
      <t xml:space="preserve">🎫 </t>
    </r>
    <r>
      <rPr>
        <sz val="16"/>
        <color theme="1"/>
        <rFont val="Iansui"/>
        <family val="3"/>
        <charset val="136"/>
      </rPr>
      <t>機票</t>
    </r>
  </si>
  <si>
    <r>
      <t xml:space="preserve">🎫 </t>
    </r>
    <r>
      <rPr>
        <sz val="20"/>
        <color theme="1"/>
        <rFont val="Iansui"/>
        <family val="3"/>
        <charset val="136"/>
      </rPr>
      <t>機票</t>
    </r>
  </si>
  <si>
    <t>【 資產概況 (個人錢包) 】</t>
  </si>
  <si>
    <t>錢包ID</t>
  </si>
  <si>
    <t>幣別</t>
  </si>
  <si>
    <t>本表記錄流出</t>
  </si>
  <si>
    <t>結算估計剩餘</t>
  </si>
  <si>
    <t>【終局債務清算 】</t>
  </si>
  <si>
    <t>總代墊(A)</t>
  </si>
  <si>
    <t>應攤總負擔(B)</t>
  </si>
  <si>
    <t>公帳分回(C)</t>
  </si>
  <si>
    <t>公款殘值退回(D)</t>
  </si>
  <si>
    <t>淨應收/補狀態</t>
  </si>
  <si>
    <r>
      <t xml:space="preserve">🔴 </t>
    </r>
    <r>
      <rPr>
        <sz val="16"/>
        <color theme="1"/>
        <rFont val="Iansui"/>
        <family val="3"/>
        <charset val="136"/>
      </rPr>
      <t>須補交</t>
    </r>
    <r>
      <rPr>
        <sz val="16"/>
        <color theme="1"/>
        <rFont val="Segoe UI Emoji"/>
        <family val="2"/>
      </rPr>
      <t xml:space="preserve"> $82,453</t>
    </r>
  </si>
  <si>
    <t>【詳細消費紀錄 】</t>
  </si>
  <si>
    <t>我的負擔</t>
  </si>
  <si>
    <t>代墊債權</t>
  </si>
  <si>
    <t>他人支付(我分攤)</t>
  </si>
  <si>
    <t>個人私費</t>
  </si>
  <si>
    <r>
      <rPr>
        <sz val="16"/>
        <color theme="1"/>
        <rFont val="Iansui"/>
        <family val="3"/>
        <charset val="136"/>
      </rPr>
      <t>初始額度</t>
    </r>
  </si>
  <si>
    <r>
      <rPr>
        <sz val="16"/>
        <color theme="1"/>
        <rFont val="Iansui"/>
        <family val="3"/>
        <charset val="136"/>
      </rPr>
      <t>公帳分回</t>
    </r>
    <r>
      <rPr>
        <sz val="16"/>
        <color theme="1"/>
        <rFont val="Segoe UI Emoji"/>
        <family val="2"/>
      </rPr>
      <t>(C)</t>
    </r>
  </si>
  <si>
    <r>
      <t xml:space="preserve">🟢 </t>
    </r>
    <r>
      <rPr>
        <sz val="16"/>
        <color theme="1"/>
        <rFont val="Iansui"/>
        <family val="3"/>
        <charset val="136"/>
      </rPr>
      <t>應收回</t>
    </r>
    <r>
      <rPr>
        <sz val="16"/>
        <color theme="1"/>
        <rFont val="Segoe UI Emoji"/>
        <family val="2"/>
      </rPr>
      <t xml:space="preserve"> $77,238</t>
    </r>
  </si>
  <si>
    <r>
      <t xml:space="preserve">🟢 </t>
    </r>
    <r>
      <rPr>
        <sz val="16"/>
        <color theme="1"/>
        <rFont val="Iansui"/>
        <family val="3"/>
        <charset val="136"/>
      </rPr>
      <t>應收回</t>
    </r>
    <r>
      <rPr>
        <sz val="16"/>
        <color theme="1"/>
        <rFont val="Segoe UI Emoji"/>
        <family val="2"/>
      </rPr>
      <t xml:space="preserve"> $4,566</t>
    </r>
  </si>
  <si>
    <t>預繳/代墊(A)</t>
  </si>
  <si>
    <t>應攤總額(B)</t>
  </si>
  <si>
    <t>最終應收/補</t>
  </si>
  <si>
    <t>⚽ Nomad</t>
  </si>
  <si>
    <r>
      <rPr>
        <sz val="16"/>
        <color theme="1"/>
        <rFont val="Iansui"/>
        <family val="3"/>
        <charset val="136"/>
      </rPr>
      <t>成員</t>
    </r>
  </si>
  <si>
    <r>
      <rPr>
        <sz val="16"/>
        <color theme="1"/>
        <rFont val="Iansui"/>
        <family val="3"/>
        <charset val="136"/>
      </rPr>
      <t>狀態</t>
    </r>
  </si>
  <si>
    <r>
      <t xml:space="preserve">🔴 </t>
    </r>
    <r>
      <rPr>
        <sz val="16"/>
        <color theme="1"/>
        <rFont val="Iansui"/>
        <family val="3"/>
        <charset val="136"/>
      </rPr>
      <t>須補</t>
    </r>
  </si>
  <si>
    <r>
      <t xml:space="preserve">🟢 </t>
    </r>
    <r>
      <rPr>
        <sz val="16"/>
        <color theme="1"/>
        <rFont val="Iansui"/>
        <family val="3"/>
        <charset val="136"/>
      </rPr>
      <t>拿回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</si>
</sst>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&quot;$&quot;#,##0"/>
    <numFmt numFmtId="178" formatCode="0.0%"/>
  </numFmts>
  <fonts count="20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Iansui"/>
      <family val="3"/>
      <charset val="136"/>
    </font>
    <font>
      <sz val="16"/>
      <color theme="1"/>
      <name val="Iansui"/>
      <family val="3"/>
      <charset val="136"/>
    </font>
    <font>
      <b/>
      <sz val="22"/>
      <color theme="1"/>
      <name val="Iansui"/>
      <family val="3"/>
      <charset val="136"/>
    </font>
    <font>
      <sz val="16"/>
      <color theme="1"/>
      <name val="Segoe UI Emoji"/>
      <family val="2"/>
    </font>
    <font>
      <b/>
      <sz val="26"/>
      <color rgb="FF323232"/>
      <name val="Segoe UI Emoji"/>
      <family val="2"/>
    </font>
    <font>
      <sz val="18"/>
      <color rgb="FF1F1F1F"/>
      <name val="Iansui"/>
      <family val="3"/>
      <charset val="136"/>
    </font>
    <font>
      <b/>
      <sz val="18"/>
      <color rgb="FF1F1F1F"/>
      <name val="Iansui"/>
      <family val="3"/>
      <charset val="136"/>
    </font>
    <font>
      <sz val="18"/>
      <color theme="1"/>
      <name val="Iansui"/>
      <family val="3"/>
      <charset val="136"/>
    </font>
    <font>
      <sz val="18"/>
      <color rgb="FF444746"/>
      <name val="Iansui"/>
      <family val="3"/>
      <charset val="136"/>
    </font>
    <font>
      <sz val="20"/>
      <color theme="1"/>
      <name val="Iansui"/>
      <family val="3"/>
      <charset val="136"/>
    </font>
    <font>
      <sz val="20"/>
      <color theme="1"/>
      <name val="Segoe UI Emoji"/>
      <family val="2"/>
    </font>
    <font>
      <sz val="20"/>
      <color rgb="FF22C55E"/>
      <name val="Segoe UI Emoji"/>
      <family val="2"/>
    </font>
    <font>
      <sz val="20"/>
      <color rgb="FF22C55E"/>
      <name val="Iansui"/>
      <family val="3"/>
      <charset val="136"/>
    </font>
    <font>
      <sz val="20"/>
      <color rgb="FF3B82F6"/>
      <name val="Segoe UI Emoji"/>
      <family val="2"/>
    </font>
    <font>
      <sz val="20"/>
      <color rgb="FF3B82F6"/>
      <name val="Iansui"/>
      <family val="3"/>
      <charset val="136"/>
    </font>
    <font>
      <sz val="20"/>
      <color rgb="FFF97316"/>
      <name val="Segoe UI Emoji"/>
      <family val="2"/>
    </font>
    <font>
      <sz val="20"/>
      <color rgb="FFF97316"/>
      <name val="Iansui"/>
      <family val="3"/>
      <charset val="136"/>
    </font>
    <font>
      <b/>
      <sz val="22"/>
      <color rgb="FF15803D"/>
      <name val="Iansui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rgb="FFFCFCFC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EDD5"/>
        <bgColor indexed="64"/>
      </patternFill>
    </fill>
    <fill>
      <patternFill patternType="solid">
        <fgColor rgb="FFE0F2FE"/>
        <bgColor indexed="64"/>
      </patternFill>
    </fill>
    <fill>
      <patternFill patternType="solid">
        <fgColor rgb="FF90EE90"/>
        <bgColor indexed="64"/>
      </patternFill>
    </fill>
  </fills>
  <borders count="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2" fillId="0" borderId="0" xfId="0" applyFont="1">
      <alignment vertical="center"/>
    </xf>
    <xf numFmtId="22" fontId="0" fillId="0" borderId="0" xfId="0" applyNumberFormat="1">
      <alignment vertical="center"/>
    </xf>
    <xf numFmtId="0" fontId="3" fillId="0" borderId="0" xfId="0" applyFont="1">
      <alignment vertical="center"/>
    </xf>
    <xf numFmtId="22" fontId="3" fillId="0" borderId="0" xfId="0" applyNumberFormat="1" applyFont="1">
      <alignment vertical="center"/>
    </xf>
    <xf numFmtId="176" fontId="3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2" fillId="2" borderId="0" xfId="0" applyFont="1" applyFill="1">
      <alignment vertical="center"/>
    </xf>
    <xf numFmtId="0" fontId="6" fillId="2" borderId="0" xfId="0" applyFont="1" applyFill="1">
      <alignment vertical="center"/>
    </xf>
    <xf numFmtId="177" fontId="3" fillId="0" borderId="0" xfId="0" applyNumberFormat="1" applyFont="1">
      <alignment vertical="center"/>
    </xf>
    <xf numFmtId="0" fontId="7" fillId="0" borderId="0" xfId="0" applyFont="1" applyAlignment="1">
      <alignment horizontal="left" vertical="center" readingOrder="1"/>
    </xf>
    <xf numFmtId="0" fontId="9" fillId="0" borderId="0" xfId="0" applyFont="1">
      <alignment vertical="center"/>
    </xf>
    <xf numFmtId="0" fontId="8" fillId="0" borderId="1" xfId="0" applyFont="1" applyBorder="1" applyAlignment="1">
      <alignment vertical="center" wrapText="1" readingOrder="1"/>
    </xf>
    <xf numFmtId="0" fontId="7" fillId="0" borderId="1" xfId="0" applyFont="1" applyBorder="1" applyAlignment="1">
      <alignment vertical="center" wrapText="1" readingOrder="1"/>
    </xf>
    <xf numFmtId="0" fontId="12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2" fillId="0" borderId="0" xfId="0" applyFont="1">
      <alignment vertical="center"/>
    </xf>
    <xf numFmtId="177" fontId="11" fillId="0" borderId="0" xfId="0" applyNumberFormat="1" applyFont="1">
      <alignment vertical="center"/>
    </xf>
    <xf numFmtId="178" fontId="11" fillId="0" borderId="0" xfId="0" applyNumberFormat="1" applyFont="1">
      <alignment vertical="center"/>
    </xf>
    <xf numFmtId="178" fontId="3" fillId="0" borderId="0" xfId="0" applyNumberFormat="1" applyFont="1">
      <alignment vertical="center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 readingOrder="1"/>
    </xf>
    <xf numFmtId="0" fontId="19" fillId="0" borderId="0" xfId="0" applyFont="1">
      <alignment vertical="center"/>
    </xf>
    <xf numFmtId="0" fontId="5" fillId="3" borderId="0" xfId="0" applyFont="1" applyFill="1">
      <alignment vertical="center"/>
    </xf>
    <xf numFmtId="0" fontId="3" fillId="4" borderId="0" xfId="0" applyFont="1" applyFill="1">
      <alignment vertical="center"/>
    </xf>
    <xf numFmtId="0" fontId="3" fillId="5" borderId="0" xfId="0" applyFont="1" applyFill="1">
      <alignment vertical="center"/>
    </xf>
    <xf numFmtId="0" fontId="5" fillId="6" borderId="0" xfId="0" applyFont="1" applyFill="1">
      <alignment vertical="center"/>
    </xf>
  </cellXfs>
  <cellStyles count="1">
    <cellStyle name="一般" xfId="0" builtinId="0"/>
  </cellStyles>
  <dxfs count="2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22C55E"/>
        <name val="Segoe UI Emoj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Iansui"/>
        <charset val="136"/>
        <scheme val="none"/>
      </font>
      <numFmt numFmtId="178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Iansui"/>
        <charset val="136"/>
        <scheme val="none"/>
      </font>
      <numFmt numFmtId="178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Iansui"/>
        <charset val="136"/>
        <scheme val="none"/>
      </font>
      <numFmt numFmtId="177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Iansui"/>
        <charset val="136"/>
        <scheme val="none"/>
      </font>
      <numFmt numFmtId="177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Segoe UI Emoj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Iansui"/>
        <charset val="136"/>
        <scheme val="none"/>
      </font>
    </dxf>
    <dxf>
      <font>
        <b val="0"/>
        <i val="0"/>
        <strike val="0"/>
        <outline val="0"/>
        <shadow val="0"/>
        <u val="none"/>
        <vertAlign val="baseline"/>
        <sz val="20"/>
        <color theme="1"/>
        <name val="Iansui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Iansui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  <numFmt numFmtId="176" formatCode="yyyy/mm/d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  <fill>
        <patternFill patternType="solid">
          <fgColor indexed="64"/>
          <bgColor rgb="FF90EE9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Iansui"/>
        <charset val="136"/>
        <scheme val="none"/>
      </font>
      <numFmt numFmtId="178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Iansui"/>
        <charset val="136"/>
        <scheme val="none"/>
      </font>
      <numFmt numFmtId="178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Iansui"/>
        <charset val="136"/>
        <scheme val="none"/>
      </font>
      <numFmt numFmtId="177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Iansui"/>
        <charset val="136"/>
        <scheme val="none"/>
      </font>
      <numFmt numFmtId="177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Segoe UI Emoj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Segoe UI Emoj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Iansui"/>
        <charset val="136"/>
        <scheme val="none"/>
      </font>
    </dxf>
    <dxf>
      <font>
        <b val="0"/>
        <i val="0"/>
        <strike val="0"/>
        <outline val="0"/>
        <shadow val="0"/>
        <u val="none"/>
        <vertAlign val="baseline"/>
        <sz val="20"/>
        <color theme="1"/>
        <name val="Iansui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Iansui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  <numFmt numFmtId="176" formatCode="yyyy/mm/d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  <fill>
        <patternFill patternType="solid">
          <fgColor indexed="64"/>
          <bgColor rgb="FF90EE9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Iansui"/>
        <charset val="136"/>
        <scheme val="none"/>
      </font>
      <numFmt numFmtId="178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Iansui"/>
        <charset val="136"/>
        <scheme val="none"/>
      </font>
      <numFmt numFmtId="178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Iansui"/>
        <charset val="136"/>
        <scheme val="none"/>
      </font>
      <numFmt numFmtId="177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Iansui"/>
        <charset val="136"/>
        <scheme val="none"/>
      </font>
      <numFmt numFmtId="177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Segoe UI Emoj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Segoe UI Emoj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Iansui"/>
        <charset val="136"/>
        <scheme val="none"/>
      </font>
    </dxf>
    <dxf>
      <font>
        <b val="0"/>
        <i val="0"/>
        <strike val="0"/>
        <outline val="0"/>
        <shadow val="0"/>
        <u val="none"/>
        <vertAlign val="baseline"/>
        <sz val="20"/>
        <color theme="1"/>
        <name val="Iansui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Iansui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  <numFmt numFmtId="176" formatCode="yyyy/mm/d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  <fill>
        <patternFill patternType="solid">
          <fgColor indexed="64"/>
          <bgColor rgb="FFFFB6C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Iansui"/>
        <charset val="136"/>
        <scheme val="none"/>
      </font>
      <numFmt numFmtId="178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Iansui"/>
        <charset val="136"/>
        <scheme val="none"/>
      </font>
      <numFmt numFmtId="178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Iansui"/>
        <charset val="136"/>
        <scheme val="none"/>
      </font>
      <numFmt numFmtId="177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Iansui"/>
        <charset val="136"/>
        <scheme val="none"/>
      </font>
      <numFmt numFmtId="177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Segoe UI Emoj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Segoe UI Emoj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Iansui"/>
        <charset val="136"/>
        <scheme val="none"/>
      </font>
    </dxf>
    <dxf>
      <font>
        <b val="0"/>
        <i val="0"/>
        <strike val="0"/>
        <outline val="0"/>
        <shadow val="0"/>
        <u val="none"/>
        <vertAlign val="baseline"/>
        <sz val="20"/>
        <color theme="1"/>
        <name val="Iansui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Iansui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  <numFmt numFmtId="176" formatCode="yyyy/mm/dd"/>
    </dxf>
    <dxf>
      <font>
        <b val="0"/>
        <i val="0"/>
        <strike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  <numFmt numFmtId="27" formatCode="yyyy/m/d\ h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</dxfs>
  <tableStyles count="0" defaultTableStyle="TableStyleMedium2" defaultPivotStyle="PivotStyleLight16"/>
  <colors>
    <mruColors>
      <color rgb="FFFFFF99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22C55E"/>
              </a:solidFill>
              <a:ln w="50800"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DB6A-4472-A3DA-284A4B39A9E7}"/>
              </c:ext>
            </c:extLst>
          </c:dPt>
          <c:dPt>
            <c:idx val="1"/>
            <c:bubble3D val="0"/>
            <c:spPr>
              <a:solidFill>
                <a:srgbClr val="3B82F6"/>
              </a:solidFill>
              <a:ln w="50800"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DB6A-4472-A3DA-284A4B39A9E7}"/>
              </c:ext>
            </c:extLst>
          </c:dPt>
          <c:dPt>
            <c:idx val="2"/>
            <c:bubble3D val="0"/>
            <c:spPr>
              <a:solidFill>
                <a:srgbClr val="F97316"/>
              </a:solidFill>
              <a:ln w="50800"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DB6A-4472-A3DA-284A4B39A9E7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altLang="en-US" sz="4000">
                        <a:effectLst>
                          <a:glow rad="190500">
                            <a:srgbClr val="FFFFFF"/>
                          </a:glow>
                        </a:effectLst>
                        <a:latin typeface="Segoe UI Emoji"/>
                        <a:ea typeface="Segoe UI Emoji"/>
                        <a:cs typeface="Segoe UI Emoji"/>
                      </a:defRPr>
                    </a:pPr>
                    <a:r>
                      <a:rPr lang="zh-TW" altLang="en-US">
                        <a:effectLst>
                          <a:glow rad="190500">
                            <a:srgbClr val="FFFFFF"/>
                          </a:glow>
                        </a:effectLst>
                      </a:rPr>
                      <a:t>🍴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DB6A-4472-A3DA-284A4B39A9E7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altLang="en-US" sz="4000">
                        <a:effectLst>
                          <a:glow rad="190500">
                            <a:srgbClr val="FFFFFF"/>
                          </a:glow>
                        </a:effectLst>
                        <a:latin typeface="Segoe UI Emoji"/>
                        <a:ea typeface="Segoe UI Emoji"/>
                        <a:cs typeface="Segoe UI Emoji"/>
                      </a:defRPr>
                    </a:pPr>
                    <a:r>
                      <a:rPr lang="zh-TW" altLang="en-US">
                        <a:effectLst>
                          <a:glow rad="190500">
                            <a:srgbClr val="FFFFFF"/>
                          </a:glow>
                        </a:effectLst>
                      </a:rPr>
                      <a:t>🎫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DB6A-4472-A3DA-284A4B39A9E7}"/>
                </c:ext>
              </c:extLst>
            </c:dLbl>
            <c:dLbl>
              <c:idx val="2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altLang="en-US" sz="4000">
                        <a:effectLst>
                          <a:glow rad="190500">
                            <a:srgbClr val="FFFFFF"/>
                          </a:glow>
                        </a:effectLst>
                        <a:latin typeface="Segoe UI Emoji"/>
                        <a:ea typeface="Segoe UI Emoji"/>
                        <a:cs typeface="Segoe UI Emoji"/>
                      </a:defRPr>
                    </a:pPr>
                    <a:r>
                      <a:rPr lang="zh-TW" altLang="en-US">
                        <a:effectLst>
                          <a:glow rad="190500">
                            <a:srgbClr val="FFFFFF"/>
                          </a:glow>
                        </a:effectLst>
                      </a:rPr>
                      <a:t>🏠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DB6A-4472-A3DA-284A4B39A9E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Group_Details!$O$4:$O$6</c:f>
              <c:strCache>
                <c:ptCount val="3"/>
                <c:pt idx="0">
                  <c:v>🍴 餐飲</c:v>
                </c:pt>
                <c:pt idx="1">
                  <c:v>🎫 機票</c:v>
                </c:pt>
                <c:pt idx="2">
                  <c:v>🏠 住宿</c:v>
                </c:pt>
              </c:strCache>
            </c:strRef>
          </c:cat>
          <c:val>
            <c:numRef>
              <c:f>Group_Details!$P$4:$P$6</c:f>
              <c:numCache>
                <c:formatCode>"$"#,##0</c:formatCode>
                <c:ptCount val="3"/>
                <c:pt idx="0">
                  <c:v>188202.1</c:v>
                </c:pt>
                <c:pt idx="1">
                  <c:v>15813</c:v>
                </c:pt>
                <c:pt idx="2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6A-4472-A3DA-284A4B39A9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22C55E"/>
              </a:solidFill>
              <a:ln w="50800"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9CD7-4B64-8B34-C18124480619}"/>
              </c:ext>
            </c:extLst>
          </c:dPt>
          <c:dPt>
            <c:idx val="1"/>
            <c:bubble3D val="0"/>
            <c:spPr>
              <a:solidFill>
                <a:srgbClr val="3B82F6"/>
              </a:solidFill>
              <a:ln w="50800"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9CD7-4B64-8B34-C1812448061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altLang="en-US" sz="4000">
                        <a:effectLst>
                          <a:glow rad="190500">
                            <a:srgbClr val="FFFFFF"/>
                          </a:glow>
                        </a:effectLst>
                        <a:latin typeface="Segoe UI Emoji"/>
                        <a:ea typeface="Segoe UI Emoji"/>
                        <a:cs typeface="Segoe UI Emoji"/>
                      </a:defRPr>
                    </a:pPr>
                    <a:r>
                      <a:rPr lang="zh-TW" altLang="en-US">
                        <a:effectLst>
                          <a:glow rad="190500">
                            <a:srgbClr val="FFFFFF"/>
                          </a:glow>
                        </a:effectLst>
                      </a:rPr>
                      <a:t>🍴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9CD7-4B64-8B34-C18124480619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altLang="en-US" sz="4000">
                        <a:effectLst>
                          <a:glow rad="190500">
                            <a:srgbClr val="FFFFFF"/>
                          </a:glow>
                        </a:effectLst>
                        <a:latin typeface="Segoe UI Emoji"/>
                        <a:ea typeface="Segoe UI Emoji"/>
                        <a:cs typeface="Segoe UI Emoji"/>
                      </a:defRPr>
                    </a:pPr>
                    <a:r>
                      <a:rPr lang="zh-TW" altLang="en-US">
                        <a:effectLst>
                          <a:glow rad="190500">
                            <a:srgbClr val="FFFFFF"/>
                          </a:glow>
                        </a:effectLst>
                      </a:rPr>
                      <a:t>🎫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9CD7-4B64-8B34-C1812448061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PS_Smile!$N$16:$N$17</c:f>
              <c:strCache>
                <c:ptCount val="2"/>
                <c:pt idx="0">
                  <c:v>🍴 餐飲</c:v>
                </c:pt>
                <c:pt idx="1">
                  <c:v>🎫 機票</c:v>
                </c:pt>
              </c:strCache>
            </c:strRef>
          </c:cat>
          <c:val>
            <c:numRef>
              <c:f>PS_Smile!$O$16:$O$17</c:f>
              <c:numCache>
                <c:formatCode>"$"#,##0</c:formatCode>
                <c:ptCount val="2"/>
                <c:pt idx="0">
                  <c:v>110453.45</c:v>
                </c:pt>
                <c:pt idx="1">
                  <c:v>7906.5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D7-4B64-8B34-C18124480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22C55E"/>
              </a:solidFill>
              <a:ln w="50800"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C5C4-4A81-924E-28E97BF70335}"/>
              </c:ext>
            </c:extLst>
          </c:dPt>
          <c:dPt>
            <c:idx val="1"/>
            <c:bubble3D val="0"/>
            <c:spPr>
              <a:solidFill>
                <a:srgbClr val="3B82F6"/>
              </a:solidFill>
              <a:ln w="50800"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5C4-4A81-924E-28E97BF70335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altLang="en-US" sz="4000">
                        <a:effectLst>
                          <a:glow rad="190500">
                            <a:srgbClr val="FFFFFF"/>
                          </a:glow>
                        </a:effectLst>
                        <a:latin typeface="Segoe UI Emoji"/>
                        <a:ea typeface="Segoe UI Emoji"/>
                        <a:cs typeface="Segoe UI Emoji"/>
                      </a:defRPr>
                    </a:pPr>
                    <a:r>
                      <a:rPr lang="zh-TW">
                        <a:effectLst>
                          <a:glow rad="190500">
                            <a:srgbClr val="FFFFFF"/>
                          </a:glow>
                        </a:effectLst>
                      </a:rPr>
                      <a:t>🍴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C5C4-4A81-924E-28E97BF70335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altLang="en-US" sz="4000">
                        <a:effectLst>
                          <a:glow rad="190500">
                            <a:srgbClr val="FFFFFF"/>
                          </a:glow>
                        </a:effectLst>
                        <a:latin typeface="Segoe UI Emoji"/>
                        <a:ea typeface="Segoe UI Emoji"/>
                        <a:cs typeface="Segoe UI Emoji"/>
                      </a:defRPr>
                    </a:pPr>
                    <a:r>
                      <a:rPr lang="zh-TW">
                        <a:effectLst>
                          <a:glow rad="190500">
                            <a:srgbClr val="FFFFFF"/>
                          </a:glow>
                        </a:effectLst>
                      </a:rPr>
                      <a:t>🎫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C5C4-4A81-924E-28E97BF7033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PS_Jiani!$N$13:$N$14</c:f>
              <c:strCache>
                <c:ptCount val="2"/>
                <c:pt idx="0">
                  <c:v>🍴 餐飲</c:v>
                </c:pt>
                <c:pt idx="1">
                  <c:v>🎫 機票</c:v>
                </c:pt>
              </c:strCache>
            </c:strRef>
          </c:cat>
          <c:val>
            <c:numRef>
              <c:f>PS_Jiani!$O$13:$O$14</c:f>
              <c:numCache>
                <c:formatCode>"$"#,##0</c:formatCode>
                <c:ptCount val="2"/>
                <c:pt idx="0">
                  <c:v>93600.95</c:v>
                </c:pt>
                <c:pt idx="1">
                  <c:v>7906.5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C4-4A81-924E-28E97BF703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22C55E"/>
              </a:solidFill>
              <a:ln w="50800"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E189-407A-BD5E-639A70DD54DC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altLang="en-US" sz="4000">
                        <a:effectLst>
                          <a:glow rad="190500">
                            <a:srgbClr val="FFFFFF"/>
                          </a:glow>
                        </a:effectLst>
                        <a:latin typeface="Segoe UI Emoji"/>
                        <a:ea typeface="Segoe UI Emoji"/>
                        <a:cs typeface="Segoe UI Emoji"/>
                      </a:defRPr>
                    </a:pPr>
                    <a:r>
                      <a:rPr lang="zh-TW" altLang="en-US">
                        <a:effectLst>
                          <a:glow rad="190500">
                            <a:srgbClr val="FFFFFF"/>
                          </a:glow>
                        </a:effectLst>
                      </a:rPr>
                      <a:t>🍴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E189-407A-BD5E-639A70DD54D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PS_Nomad!$N$13</c:f>
              <c:strCache>
                <c:ptCount val="1"/>
                <c:pt idx="0">
                  <c:v>🍴 餐飲</c:v>
                </c:pt>
              </c:strCache>
            </c:strRef>
          </c:cat>
          <c:val>
            <c:numRef>
              <c:f>PS_Nomad!$O$13</c:f>
              <c:numCache>
                <c:formatCode>"$"#,##0</c:formatCode>
                <c:ptCount val="1"/>
                <c:pt idx="0">
                  <c:v>835.19999999999993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89-407A-BD5E-639A70DD5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29</xdr:row>
      <xdr:rowOff>0</xdr:rowOff>
    </xdr:from>
    <xdr:to>
      <xdr:col>2</xdr:col>
      <xdr:colOff>1867805</xdr:colOff>
      <xdr:row>41</xdr:row>
      <xdr:rowOff>200627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EF1E1347-61B5-A4AA-756E-F03750AEF9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6325" y="14249400"/>
          <a:ext cx="6487430" cy="431542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4349750</xdr:colOff>
      <xdr:row>3</xdr:row>
      <xdr:rowOff>50800</xdr:rowOff>
    </xdr:from>
    <xdr:to>
      <xdr:col>13</xdr:col>
      <xdr:colOff>615950</xdr:colOff>
      <xdr:row>6</xdr:row>
      <xdr:rowOff>92075</xdr:rowOff>
    </xdr:to>
    <xdr:sp macro="Btn1_ImportData" textlink="">
      <xdr:nvSpPr>
        <xdr:cNvPr id="2" name="矩形: 圓角 1">
          <a:extLst>
            <a:ext uri="{FF2B5EF4-FFF2-40B4-BE49-F238E27FC236}">
              <a16:creationId xmlns:a16="http://schemas.microsoft.com/office/drawing/2014/main" id="{A46BC8ED-B10C-50D7-56C4-2B5DA6B63AE3}"/>
            </a:ext>
          </a:extLst>
        </xdr:cNvPr>
        <xdr:cNvSpPr/>
      </xdr:nvSpPr>
      <xdr:spPr>
        <a:xfrm>
          <a:off x="5721350" y="974725"/>
          <a:ext cx="10220325" cy="698500"/>
        </a:xfrm>
        <a:prstGeom prst="roundRect">
          <a:avLst/>
        </a:prstGeom>
        <a:solidFill>
          <a:srgbClr val="9BBB5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</a:rPr>
            <a:t>1.</a:t>
          </a:r>
          <a:r>
            <a:rPr lang="en-US" altLang="zh-TW" sz="2800" b="0">
              <a:solidFill>
                <a:srgbClr val="FFFFFF"/>
              </a:solidFill>
              <a:latin typeface="Iansui" pitchFamily="2" charset="-120"/>
              <a:ea typeface="金梅毛行書" panose="02010609000101010101" pitchFamily="49" charset="-120"/>
            </a:rPr>
            <a:t> </a:t>
          </a:r>
          <a:r>
            <a:rPr lang="zh-TW" altLang="en-US" sz="2800" b="0">
              <a:solidFill>
                <a:srgbClr val="FFFFFF"/>
              </a:solidFill>
              <a:latin typeface="Iansui" pitchFamily="2" charset="-120"/>
              <a:ea typeface="金梅毛行書" panose="02010609000101010101" pitchFamily="49" charset="-120"/>
            </a:rPr>
            <a:t>自動匯入 </a:t>
          </a:r>
          <a:r>
            <a:rPr lang="en-US" altLang="zh-TW" sz="2800" b="0">
              <a:solidFill>
                <a:srgbClr val="FFFFFF"/>
              </a:solidFill>
              <a:latin typeface="Iansui" pitchFamily="2" charset="-120"/>
              <a:ea typeface="金梅毛行書" panose="02010609000101010101" pitchFamily="49" charset="-120"/>
            </a:rPr>
            <a:t>(Import)</a:t>
          </a:r>
          <a:endParaRPr lang="zh-TW" altLang="en-US" sz="2800" b="0">
            <a:solidFill>
              <a:srgbClr val="FFFFFF"/>
            </a:solidFill>
            <a:latin typeface="Iansui" pitchFamily="2" charset="-120"/>
            <a:ea typeface="金梅毛行書" panose="02010609000101010101" pitchFamily="49" charset="-120"/>
          </a:endParaRPr>
        </a:p>
      </xdr:txBody>
    </xdr:sp>
    <xdr:clientData/>
  </xdr:twoCellAnchor>
  <xdr:twoCellAnchor>
    <xdr:from>
      <xdr:col>0</xdr:col>
      <xdr:colOff>187325</xdr:colOff>
      <xdr:row>8</xdr:row>
      <xdr:rowOff>53975</xdr:rowOff>
    </xdr:from>
    <xdr:to>
      <xdr:col>5</xdr:col>
      <xdr:colOff>568325</xdr:colOff>
      <xdr:row>11</xdr:row>
      <xdr:rowOff>95250</xdr:rowOff>
    </xdr:to>
    <xdr:sp macro="Btn2_Settings" textlink="">
      <xdr:nvSpPr>
        <xdr:cNvPr id="3" name="矩形: 圓角 2">
          <a:extLst>
            <a:ext uri="{FF2B5EF4-FFF2-40B4-BE49-F238E27FC236}">
              <a16:creationId xmlns:a16="http://schemas.microsoft.com/office/drawing/2014/main" id="{F78A2200-F7C3-1D88-E0B1-4A2221319031}"/>
            </a:ext>
          </a:extLst>
        </xdr:cNvPr>
        <xdr:cNvSpPr/>
      </xdr:nvSpPr>
      <xdr:spPr>
        <a:xfrm>
          <a:off x="187325" y="2073275"/>
          <a:ext cx="10220325" cy="698500"/>
        </a:xfrm>
        <a:prstGeom prst="roundRect">
          <a:avLst/>
        </a:prstGeom>
        <a:solidFill>
          <a:srgbClr val="70707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2. </a:t>
          </a:r>
          <a:r>
            <a:rPr lang="zh-TW" altLang="en-US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系統設定 </a:t>
          </a:r>
          <a:r>
            <a:rPr lang="en-US" altLang="zh-TW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(Settings)</a:t>
          </a:r>
          <a:endParaRPr lang="zh-TW" altLang="en-US" sz="2800" b="0">
            <a:solidFill>
              <a:srgbClr val="FFFFFF"/>
            </a:solidFill>
            <a:latin typeface="Segoe UI Emoji" panose="020B0502040204020203" pitchFamily="34" charset="0"/>
            <a:ea typeface="金梅毛行書" panose="02010609000101010101" pitchFamily="49" charset="-120"/>
            <a:cs typeface="+mn-cs"/>
          </a:endParaRPr>
        </a:p>
      </xdr:txBody>
    </xdr:sp>
    <xdr:clientData/>
  </xdr:twoCellAnchor>
  <xdr:twoCellAnchor>
    <xdr:from>
      <xdr:col>2</xdr:col>
      <xdr:colOff>4416425</xdr:colOff>
      <xdr:row>12</xdr:row>
      <xdr:rowOff>171450</xdr:rowOff>
    </xdr:from>
    <xdr:to>
      <xdr:col>13</xdr:col>
      <xdr:colOff>682625</xdr:colOff>
      <xdr:row>15</xdr:row>
      <xdr:rowOff>212725</xdr:rowOff>
    </xdr:to>
    <xdr:sp macro="Btn3_GroupDetails" textlink="">
      <xdr:nvSpPr>
        <xdr:cNvPr id="4" name="矩形: 圓角 3">
          <a:extLst>
            <a:ext uri="{FF2B5EF4-FFF2-40B4-BE49-F238E27FC236}">
              <a16:creationId xmlns:a16="http://schemas.microsoft.com/office/drawing/2014/main" id="{65A85481-8FEE-2BA2-A661-5B7B5547D2F0}"/>
            </a:ext>
          </a:extLst>
        </xdr:cNvPr>
        <xdr:cNvSpPr/>
      </xdr:nvSpPr>
      <xdr:spPr>
        <a:xfrm>
          <a:off x="5788025" y="3067050"/>
          <a:ext cx="10220325" cy="698500"/>
        </a:xfrm>
        <a:prstGeom prst="roundRect">
          <a:avLst/>
        </a:prstGeom>
        <a:solidFill>
          <a:srgbClr val="9696FA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3. </a:t>
          </a:r>
          <a:r>
            <a:rPr lang="zh-TW" altLang="en-US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團體明細 </a:t>
          </a:r>
          <a:r>
            <a:rPr lang="en-US" altLang="zh-TW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(Group)</a:t>
          </a:r>
          <a:endParaRPr lang="zh-TW" altLang="en-US" sz="2800" b="0">
            <a:solidFill>
              <a:srgbClr val="FFFFFF"/>
            </a:solidFill>
            <a:latin typeface="Segoe UI Emoji" panose="020B0502040204020203" pitchFamily="34" charset="0"/>
            <a:ea typeface="金梅毛行書" panose="02010609000101010101" pitchFamily="49" charset="-120"/>
            <a:cs typeface="+mn-cs"/>
          </a:endParaRPr>
        </a:p>
      </xdr:txBody>
    </xdr:sp>
    <xdr:clientData/>
  </xdr:twoCellAnchor>
  <xdr:twoCellAnchor>
    <xdr:from>
      <xdr:col>0</xdr:col>
      <xdr:colOff>158750</xdr:colOff>
      <xdr:row>17</xdr:row>
      <xdr:rowOff>174625</xdr:rowOff>
    </xdr:from>
    <xdr:to>
      <xdr:col>5</xdr:col>
      <xdr:colOff>539750</xdr:colOff>
      <xdr:row>20</xdr:row>
      <xdr:rowOff>215900</xdr:rowOff>
    </xdr:to>
    <xdr:sp macro="Btn4_PersonalSheets" textlink="">
      <xdr:nvSpPr>
        <xdr:cNvPr id="5" name="矩形: 圓角 4">
          <a:extLst>
            <a:ext uri="{FF2B5EF4-FFF2-40B4-BE49-F238E27FC236}">
              <a16:creationId xmlns:a16="http://schemas.microsoft.com/office/drawing/2014/main" id="{B3EFE33B-30F7-2766-52B1-20BFF07ACE0A}"/>
            </a:ext>
          </a:extLst>
        </xdr:cNvPr>
        <xdr:cNvSpPr/>
      </xdr:nvSpPr>
      <xdr:spPr>
        <a:xfrm>
          <a:off x="158750" y="4165600"/>
          <a:ext cx="10220325" cy="698500"/>
        </a:xfrm>
        <a:prstGeom prst="roundRect">
          <a:avLst/>
        </a:prstGeom>
        <a:solidFill>
          <a:srgbClr val="7030A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4. </a:t>
          </a:r>
          <a:r>
            <a:rPr lang="zh-TW" altLang="en-US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個人分頁 </a:t>
          </a:r>
          <a:r>
            <a:rPr lang="en-US" altLang="zh-TW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(Personal)</a:t>
          </a:r>
          <a:endParaRPr lang="zh-TW" altLang="en-US" sz="2800" b="0">
            <a:solidFill>
              <a:srgbClr val="FFFFFF"/>
            </a:solidFill>
            <a:latin typeface="Segoe UI Emoji" panose="020B0502040204020203" pitchFamily="34" charset="0"/>
            <a:ea typeface="金梅毛行書" panose="02010609000101010101" pitchFamily="49" charset="-120"/>
            <a:cs typeface="+mn-cs"/>
          </a:endParaRPr>
        </a:p>
      </xdr:txBody>
    </xdr:sp>
    <xdr:clientData/>
  </xdr:twoCellAnchor>
  <xdr:twoCellAnchor>
    <xdr:from>
      <xdr:col>2</xdr:col>
      <xdr:colOff>815975</xdr:colOff>
      <xdr:row>23</xdr:row>
      <xdr:rowOff>73025</xdr:rowOff>
    </xdr:from>
    <xdr:to>
      <xdr:col>8</xdr:col>
      <xdr:colOff>511175</xdr:colOff>
      <xdr:row>26</xdr:row>
      <xdr:rowOff>114300</xdr:rowOff>
    </xdr:to>
    <xdr:sp macro="Btn5_GroupSummary" textlink="">
      <xdr:nvSpPr>
        <xdr:cNvPr id="6" name="矩形: 圓角 5">
          <a:extLst>
            <a:ext uri="{FF2B5EF4-FFF2-40B4-BE49-F238E27FC236}">
              <a16:creationId xmlns:a16="http://schemas.microsoft.com/office/drawing/2014/main" id="{8EC8FF98-423B-2DE8-8770-1921C2A41D1D}"/>
            </a:ext>
          </a:extLst>
        </xdr:cNvPr>
        <xdr:cNvSpPr/>
      </xdr:nvSpPr>
      <xdr:spPr>
        <a:xfrm>
          <a:off x="2187575" y="5378450"/>
          <a:ext cx="10220325" cy="698500"/>
        </a:xfrm>
        <a:prstGeom prst="roundRect">
          <a:avLst/>
        </a:prstGeom>
        <a:solidFill>
          <a:srgbClr val="FFC00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5. </a:t>
          </a:r>
          <a:r>
            <a:rPr lang="zh-TW" altLang="en-US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終局結算 </a:t>
          </a:r>
          <a:r>
            <a:rPr lang="en-US" altLang="zh-TW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(Summary)</a:t>
          </a:r>
          <a:endParaRPr lang="zh-TW" altLang="en-US" sz="2800" b="0">
            <a:solidFill>
              <a:srgbClr val="FFFFFF"/>
            </a:solidFill>
            <a:latin typeface="Segoe UI Emoji" panose="020B0502040204020203" pitchFamily="34" charset="0"/>
            <a:ea typeface="金梅毛行書" panose="02010609000101010101" pitchFamily="49" charset="-120"/>
            <a:cs typeface="+mn-cs"/>
          </a:endParaRPr>
        </a:p>
      </xdr:txBody>
    </xdr:sp>
    <xdr:clientData/>
  </xdr:twoCellAnchor>
  <xdr:twoCellAnchor>
    <xdr:from>
      <xdr:col>0</xdr:col>
      <xdr:colOff>352425</xdr:colOff>
      <xdr:row>0</xdr:row>
      <xdr:rowOff>47625</xdr:rowOff>
    </xdr:from>
    <xdr:to>
      <xdr:col>10</xdr:col>
      <xdr:colOff>533400</xdr:colOff>
      <xdr:row>5</xdr:row>
      <xdr:rowOff>180975</xdr:rowOff>
    </xdr:to>
    <xdr:sp macro="" textlink="">
      <xdr:nvSpPr>
        <xdr:cNvPr id="7" name="矩形: 圓角 6">
          <a:extLst>
            <a:ext uri="{FF2B5EF4-FFF2-40B4-BE49-F238E27FC236}">
              <a16:creationId xmlns:a16="http://schemas.microsoft.com/office/drawing/2014/main" id="{1829F41F-F881-4DF0-BFFC-AD008953FFE1}"/>
            </a:ext>
          </a:extLst>
        </xdr:cNvPr>
        <xdr:cNvSpPr/>
      </xdr:nvSpPr>
      <xdr:spPr>
        <a:xfrm>
          <a:off x="352425" y="47625"/>
          <a:ext cx="13449300" cy="1495425"/>
        </a:xfrm>
        <a:prstGeom prst="round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0" rtlCol="0" anchor="t"/>
        <a:lstStyle/>
        <a:p>
          <a:pPr algn="l"/>
          <a:r>
            <a:rPr lang="zh-TW" altLang="en-US" sz="4800" b="1">
              <a:solidFill>
                <a:srgbClr val="323232"/>
              </a:solidFill>
              <a:latin typeface="華康POP1體W5" panose="040B0509000000000000" pitchFamily="81" charset="-120"/>
              <a:ea typeface="華康POP1體W5" panose="040B0509000000000000" pitchFamily="81" charset="-120"/>
            </a:rPr>
            <a:t>🐬 </a:t>
          </a:r>
          <a:r>
            <a:rPr lang="en-US" altLang="zh-TW" sz="4800" b="1">
              <a:solidFill>
                <a:srgbClr val="323232"/>
              </a:solidFill>
              <a:latin typeface="華康POP1體W5" panose="040B0509000000000000" pitchFamily="81" charset="-120"/>
              <a:ea typeface="華康POP1體W5" panose="040B0509000000000000" pitchFamily="81" charset="-120"/>
            </a:rPr>
            <a:t>2026 </a:t>
          </a:r>
          <a:r>
            <a:rPr lang="zh-TW" altLang="en-US" sz="4800" b="1">
              <a:solidFill>
                <a:srgbClr val="323232"/>
              </a:solidFill>
              <a:latin typeface="華康POP1體W5" panose="040B0509000000000000" pitchFamily="81" charset="-120"/>
              <a:ea typeface="華康POP1體W5" panose="040B0509000000000000" pitchFamily="81" charset="-120"/>
            </a:rPr>
            <a:t>哆啦</a:t>
          </a:r>
          <a:r>
            <a:rPr lang="en-US" altLang="zh-TW" sz="4800" b="1">
              <a:solidFill>
                <a:srgbClr val="323232"/>
              </a:solidFill>
              <a:latin typeface="華康POP1體W5" panose="040B0509000000000000" pitchFamily="81" charset="-120"/>
              <a:ea typeface="華康POP1體W5" panose="040B0509000000000000" pitchFamily="81" charset="-120"/>
            </a:rPr>
            <a:t>A</a:t>
          </a:r>
          <a:r>
            <a:rPr lang="zh-TW" altLang="en-US" sz="4800" b="1">
              <a:solidFill>
                <a:srgbClr val="323232"/>
              </a:solidFill>
              <a:latin typeface="華康POP1體W5" panose="040B0509000000000000" pitchFamily="81" charset="-120"/>
              <a:ea typeface="華康POP1體W5" panose="040B0509000000000000" pitchFamily="81" charset="-120"/>
            </a:rPr>
            <a:t>夢對帳系統 </a:t>
          </a:r>
          <a:r>
            <a:rPr lang="en-US" altLang="zh-TW" sz="4800" b="1">
              <a:solidFill>
                <a:srgbClr val="323232"/>
              </a:solidFill>
              <a:latin typeface="華康POP1體W5" panose="040B0509000000000000" pitchFamily="81" charset="-120"/>
              <a:ea typeface="華康POP1體W5" panose="040B0509000000000000" pitchFamily="81" charset="-120"/>
            </a:rPr>
            <a:t>(Colorful Icons)</a:t>
          </a:r>
          <a:endParaRPr lang="zh-TW" altLang="en-US" sz="4800" b="1">
            <a:solidFill>
              <a:srgbClr val="323232"/>
            </a:solidFill>
            <a:latin typeface="華康POP1體W5" panose="040B0509000000000000" pitchFamily="81" charset="-120"/>
            <a:ea typeface="華康POP1體W5" panose="040B0509000000000000" pitchFamily="81" charset="-120"/>
          </a:endParaRPr>
        </a:p>
      </xdr:txBody>
    </xdr:sp>
    <xdr:clientData/>
  </xdr:twoCellAnchor>
  <xdr:twoCellAnchor>
    <xdr:from>
      <xdr:col>10</xdr:col>
      <xdr:colOff>333375</xdr:colOff>
      <xdr:row>17</xdr:row>
      <xdr:rowOff>161925</xdr:rowOff>
    </xdr:from>
    <xdr:to>
      <xdr:col>13</xdr:col>
      <xdr:colOff>114300</xdr:colOff>
      <xdr:row>20</xdr:row>
      <xdr:rowOff>203200</xdr:rowOff>
    </xdr:to>
    <xdr:sp macro="[0]!ExportMacaronPDF_Ultimate_Final" textlink="">
      <xdr:nvSpPr>
        <xdr:cNvPr id="8" name="矩形: 圓角 7">
          <a:extLst>
            <a:ext uri="{FF2B5EF4-FFF2-40B4-BE49-F238E27FC236}">
              <a16:creationId xmlns:a16="http://schemas.microsoft.com/office/drawing/2014/main" id="{DA65A8D1-D799-45D7-9E0B-C13887E94AC7}"/>
            </a:ext>
          </a:extLst>
        </xdr:cNvPr>
        <xdr:cNvSpPr/>
      </xdr:nvSpPr>
      <xdr:spPr>
        <a:xfrm>
          <a:off x="13601700" y="4152900"/>
          <a:ext cx="1838325" cy="6985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</a:rPr>
            <a:t>PDF</a:t>
          </a:r>
          <a:r>
            <a:rPr lang="zh-TW" altLang="en-US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</a:rPr>
            <a:t>匯出</a:t>
          </a:r>
          <a:endParaRPr lang="zh-TW" altLang="en-US" sz="2800" b="0">
            <a:solidFill>
              <a:srgbClr val="FFFFFF"/>
            </a:solidFill>
            <a:latin typeface="Iansui" pitchFamily="2" charset="-120"/>
            <a:ea typeface="金梅毛行書" panose="02010609000101010101" pitchFamily="49" charset="-120"/>
          </a:endParaRPr>
        </a:p>
      </xdr:txBody>
    </xdr:sp>
    <xdr:clientData/>
  </xdr:twoCellAnchor>
  <xdr:twoCellAnchor>
    <xdr:from>
      <xdr:col>12</xdr:col>
      <xdr:colOff>209550</xdr:colOff>
      <xdr:row>23</xdr:row>
      <xdr:rowOff>76200</xdr:rowOff>
    </xdr:from>
    <xdr:to>
      <xdr:col>14</xdr:col>
      <xdr:colOff>676275</xdr:colOff>
      <xdr:row>26</xdr:row>
      <xdr:rowOff>117475</xdr:rowOff>
    </xdr:to>
    <xdr:sp macro="[0]!ShowExportForm" textlink="">
      <xdr:nvSpPr>
        <xdr:cNvPr id="9" name="矩形: 圓角 8">
          <a:extLst>
            <a:ext uri="{FF2B5EF4-FFF2-40B4-BE49-F238E27FC236}">
              <a16:creationId xmlns:a16="http://schemas.microsoft.com/office/drawing/2014/main" id="{75671A54-2C00-40E8-A249-2F66C3B227A4}"/>
            </a:ext>
          </a:extLst>
        </xdr:cNvPr>
        <xdr:cNvSpPr/>
      </xdr:nvSpPr>
      <xdr:spPr>
        <a:xfrm>
          <a:off x="14849475" y="5381625"/>
          <a:ext cx="1838325" cy="698500"/>
        </a:xfrm>
        <a:prstGeom prst="roundRect">
          <a:avLst/>
        </a:prstGeom>
        <a:solidFill>
          <a:srgbClr val="FFFF0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800" b="0">
              <a:solidFill>
                <a:sysClr val="windowText" lastClr="000000"/>
              </a:solidFill>
              <a:latin typeface="Segoe UI Emoji" panose="020B0502040204020203" pitchFamily="34" charset="0"/>
              <a:ea typeface="金梅毛行書" panose="02010609000101010101" pitchFamily="49" charset="-120"/>
            </a:rPr>
            <a:t>個人匯出</a:t>
          </a:r>
          <a:endParaRPr lang="zh-TW" altLang="en-US" sz="2800" b="0">
            <a:solidFill>
              <a:sysClr val="windowText" lastClr="000000"/>
            </a:solidFill>
            <a:latin typeface="Iansui" pitchFamily="2" charset="-120"/>
            <a:ea typeface="金梅毛行書" panose="02010609000101010101" pitchFamily="49" charset="-12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41275</xdr:colOff>
      <xdr:row>1</xdr:row>
      <xdr:rowOff>95250</xdr:rowOff>
    </xdr:to>
    <xdr:sp macro="GoToHome" textlink="">
      <xdr:nvSpPr>
        <xdr:cNvPr id="2" name="矩形: 圓角 1">
          <a:extLst>
            <a:ext uri="{FF2B5EF4-FFF2-40B4-BE49-F238E27FC236}">
              <a16:creationId xmlns:a16="http://schemas.microsoft.com/office/drawing/2014/main" id="{ED331B26-2CD4-8502-201F-43C922D38BDE}"/>
            </a:ext>
          </a:extLst>
        </xdr:cNvPr>
        <xdr:cNvSpPr/>
      </xdr:nvSpPr>
      <xdr:spPr>
        <a:xfrm>
          <a:off x="0" y="0"/>
          <a:ext cx="1270000" cy="381000"/>
        </a:xfrm>
        <a:prstGeom prst="roundRect">
          <a:avLst/>
        </a:prstGeom>
        <a:solidFill>
          <a:srgbClr val="DCDCD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200" b="1">
              <a:solidFill>
                <a:srgbClr val="323232"/>
              </a:solidFill>
              <a:latin typeface="Segoe UI Emoji" panose="020B0502040204020203" pitchFamily="34" charset="0"/>
            </a:rPr>
            <a:t>🏠</a:t>
          </a:r>
          <a:r>
            <a:rPr lang="zh-TW" altLang="en-US" sz="1200" b="1">
              <a:solidFill>
                <a:srgbClr val="323232"/>
              </a:solidFill>
              <a:latin typeface="Iansui" pitchFamily="2" charset="-120"/>
            </a:rPr>
            <a:t> 回首頁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241300</xdr:colOff>
      <xdr:row>1</xdr:row>
      <xdr:rowOff>95250</xdr:rowOff>
    </xdr:to>
    <xdr:sp macro="GoToHome" textlink="">
      <xdr:nvSpPr>
        <xdr:cNvPr id="2" name="矩形: 圓角 1">
          <a:extLst>
            <a:ext uri="{FF2B5EF4-FFF2-40B4-BE49-F238E27FC236}">
              <a16:creationId xmlns:a16="http://schemas.microsoft.com/office/drawing/2014/main" id="{57544026-7772-C42D-5114-1D2D90052DC6}"/>
            </a:ext>
          </a:extLst>
        </xdr:cNvPr>
        <xdr:cNvSpPr/>
      </xdr:nvSpPr>
      <xdr:spPr>
        <a:xfrm>
          <a:off x="0" y="0"/>
          <a:ext cx="1270000" cy="381000"/>
        </a:xfrm>
        <a:prstGeom prst="roundRect">
          <a:avLst/>
        </a:prstGeom>
        <a:solidFill>
          <a:srgbClr val="DCDCD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200" b="1">
              <a:solidFill>
                <a:srgbClr val="323232"/>
              </a:solidFill>
              <a:latin typeface="Segoe UI Emoji" panose="020B0502040204020203" pitchFamily="34" charset="0"/>
            </a:rPr>
            <a:t>🏠</a:t>
          </a:r>
          <a:r>
            <a:rPr lang="zh-TW" altLang="en-US" sz="1200" b="1">
              <a:solidFill>
                <a:srgbClr val="323232"/>
              </a:solidFill>
              <a:latin typeface="Iansui" pitchFamily="2" charset="-120"/>
            </a:rPr>
            <a:t> 回首頁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635000</xdr:colOff>
      <xdr:row>1</xdr:row>
      <xdr:rowOff>95250</xdr:rowOff>
    </xdr:from>
    <xdr:to>
      <xdr:col>15</xdr:col>
      <xdr:colOff>508000</xdr:colOff>
      <xdr:row>3</xdr:row>
      <xdr:rowOff>158750</xdr:rowOff>
    </xdr:to>
    <xdr:sp macro="" textlink="">
      <xdr:nvSpPr>
        <xdr:cNvPr id="2" name="矩形: 圓角 1">
          <a:extLst>
            <a:ext uri="{FF2B5EF4-FFF2-40B4-BE49-F238E27FC236}">
              <a16:creationId xmlns:a16="http://schemas.microsoft.com/office/drawing/2014/main" id="{09E79D20-7CA4-24D8-403C-7337AB3274ED}"/>
            </a:ext>
          </a:extLst>
        </xdr:cNvPr>
        <xdr:cNvSpPr/>
      </xdr:nvSpPr>
      <xdr:spPr>
        <a:xfrm>
          <a:off x="635000" y="381000"/>
          <a:ext cx="10160000" cy="635000"/>
        </a:xfrm>
        <a:prstGeom prst="roundRect">
          <a:avLst/>
        </a:prstGeom>
        <a:solidFill>
          <a:srgbClr val="C4CAFD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TW" sz="2400" b="1">
              <a:solidFill>
                <a:srgbClr val="15803D"/>
              </a:solidFill>
              <a:latin typeface="Iansui" pitchFamily="2" charset="-120"/>
            </a:rPr>
            <a:t>【 Settlement Summary 】</a:t>
          </a:r>
          <a:endParaRPr lang="zh-TW" altLang="en-US" sz="2400" b="1">
            <a:solidFill>
              <a:srgbClr val="15803D"/>
            </a:solidFill>
            <a:latin typeface="Iansui" pitchFamily="2" charset="-120"/>
          </a:endParaRPr>
        </a:p>
      </xdr:txBody>
    </xdr:sp>
    <xdr:clientData/>
  </xdr:twoCellAnchor>
  <xdr:twoCellAnchor>
    <xdr:from>
      <xdr:col>0</xdr:col>
      <xdr:colOff>635000</xdr:colOff>
      <xdr:row>4</xdr:row>
      <xdr:rowOff>0</xdr:rowOff>
    </xdr:from>
    <xdr:to>
      <xdr:col>12</xdr:col>
      <xdr:colOff>25400</xdr:colOff>
      <xdr:row>5</xdr:row>
      <xdr:rowOff>222250</xdr:rowOff>
    </xdr:to>
    <xdr:sp macro="" textlink="">
      <xdr:nvSpPr>
        <xdr:cNvPr id="3" name="矩形: 圓角 2">
          <a:extLst>
            <a:ext uri="{FF2B5EF4-FFF2-40B4-BE49-F238E27FC236}">
              <a16:creationId xmlns:a16="http://schemas.microsoft.com/office/drawing/2014/main" id="{BA54ED2B-EFE0-DEFE-889F-9D498918FAAE}"/>
            </a:ext>
          </a:extLst>
        </xdr:cNvPr>
        <xdr:cNvSpPr/>
      </xdr:nvSpPr>
      <xdr:spPr>
        <a:xfrm>
          <a:off x="635000" y="1143000"/>
          <a:ext cx="7620000" cy="508000"/>
        </a:xfrm>
        <a:prstGeom prst="roundRect">
          <a:avLst/>
        </a:prstGeom>
        <a:solidFill>
          <a:srgbClr val="FFB6C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0" rtlCol="0" anchor="t"/>
        <a:lstStyle/>
        <a:p>
          <a:pPr algn="l"/>
          <a:r>
            <a:rPr lang="zh-TW" altLang="en-US" sz="1800" b="1">
              <a:solidFill>
                <a:srgbClr val="323232"/>
              </a:solidFill>
              <a:latin typeface="Segoe UI Emoji" panose="020B0502040204020203" pitchFamily="34" charset="0"/>
            </a:rPr>
            <a:t>🐬</a:t>
          </a:r>
          <a:r>
            <a:rPr lang="zh-TW" altLang="en-US" sz="1800" b="1">
              <a:solidFill>
                <a:srgbClr val="323232"/>
              </a:solidFill>
              <a:latin typeface="Iansui" pitchFamily="2" charset="-120"/>
            </a:rPr>
            <a:t> </a:t>
          </a:r>
          <a:r>
            <a:rPr lang="en-US" altLang="zh-TW" sz="1800" b="1">
              <a:solidFill>
                <a:srgbClr val="323232"/>
              </a:solidFill>
              <a:latin typeface="Iansui" pitchFamily="2" charset="-120"/>
            </a:rPr>
            <a:t>Smile </a:t>
          </a:r>
          <a:r>
            <a:rPr lang="zh-TW" altLang="en-US" sz="1800" b="1">
              <a:solidFill>
                <a:srgbClr val="323232"/>
              </a:solidFill>
              <a:latin typeface="Iansui" pitchFamily="2" charset="-120"/>
            </a:rPr>
            <a:t>須補</a:t>
          </a:r>
          <a:r>
            <a:rPr lang="en-US" altLang="zh-TW" sz="1800" b="1">
              <a:solidFill>
                <a:srgbClr val="323232"/>
              </a:solidFill>
              <a:latin typeface="Iansui" pitchFamily="2" charset="-120"/>
            </a:rPr>
            <a:t>: $82,453</a:t>
          </a:r>
          <a:endParaRPr lang="zh-TW" altLang="en-US" sz="1800" b="1">
            <a:solidFill>
              <a:srgbClr val="323232"/>
            </a:solidFill>
            <a:latin typeface="Iansui" pitchFamily="2" charset="-120"/>
          </a:endParaRPr>
        </a:p>
      </xdr:txBody>
    </xdr:sp>
    <xdr:clientData/>
  </xdr:twoCellAnchor>
  <xdr:twoCellAnchor>
    <xdr:from>
      <xdr:col>0</xdr:col>
      <xdr:colOff>635000</xdr:colOff>
      <xdr:row>6</xdr:row>
      <xdr:rowOff>63500</xdr:rowOff>
    </xdr:from>
    <xdr:to>
      <xdr:col>12</xdr:col>
      <xdr:colOff>25400</xdr:colOff>
      <xdr:row>8</xdr:row>
      <xdr:rowOff>0</xdr:rowOff>
    </xdr:to>
    <xdr:sp macro="" textlink="">
      <xdr:nvSpPr>
        <xdr:cNvPr id="4" name="矩形: 圓角 3">
          <a:extLst>
            <a:ext uri="{FF2B5EF4-FFF2-40B4-BE49-F238E27FC236}">
              <a16:creationId xmlns:a16="http://schemas.microsoft.com/office/drawing/2014/main" id="{0CE460C3-7522-85F2-053C-94A9119815F4}"/>
            </a:ext>
          </a:extLst>
        </xdr:cNvPr>
        <xdr:cNvSpPr/>
      </xdr:nvSpPr>
      <xdr:spPr>
        <a:xfrm>
          <a:off x="635000" y="1778000"/>
          <a:ext cx="7620000" cy="508000"/>
        </a:xfrm>
        <a:prstGeom prst="roundRect">
          <a:avLst/>
        </a:prstGeom>
        <a:solidFill>
          <a:srgbClr val="90EE9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0" rtlCol="0" anchor="t"/>
        <a:lstStyle/>
        <a:p>
          <a:pPr algn="l"/>
          <a:r>
            <a:rPr lang="zh-TW" altLang="en-US" sz="1800" b="1">
              <a:solidFill>
                <a:srgbClr val="323232"/>
              </a:solidFill>
              <a:latin typeface="Segoe UI Emoji" panose="020B0502040204020203" pitchFamily="34" charset="0"/>
            </a:rPr>
            <a:t>🌻</a:t>
          </a:r>
          <a:r>
            <a:rPr lang="zh-TW" altLang="en-US" sz="1800" b="1">
              <a:solidFill>
                <a:srgbClr val="323232"/>
              </a:solidFill>
              <a:latin typeface="Iansui" pitchFamily="2" charset="-120"/>
            </a:rPr>
            <a:t> </a:t>
          </a:r>
          <a:r>
            <a:rPr lang="en-US" altLang="zh-TW" sz="1800" b="1">
              <a:solidFill>
                <a:srgbClr val="323232"/>
              </a:solidFill>
              <a:latin typeface="Iansui" pitchFamily="2" charset="-120"/>
            </a:rPr>
            <a:t>Jiani </a:t>
          </a:r>
          <a:r>
            <a:rPr lang="zh-TW" altLang="en-US" sz="1800" b="1">
              <a:solidFill>
                <a:srgbClr val="323232"/>
              </a:solidFill>
              <a:latin typeface="Iansui" pitchFamily="2" charset="-120"/>
            </a:rPr>
            <a:t>拿回</a:t>
          </a:r>
          <a:r>
            <a:rPr lang="en-US" altLang="zh-TW" sz="1800" b="1">
              <a:solidFill>
                <a:srgbClr val="323232"/>
              </a:solidFill>
              <a:latin typeface="Iansui" pitchFamily="2" charset="-120"/>
            </a:rPr>
            <a:t>: $77,238</a:t>
          </a:r>
          <a:endParaRPr lang="zh-TW" altLang="en-US" sz="1800" b="1">
            <a:solidFill>
              <a:srgbClr val="323232"/>
            </a:solidFill>
            <a:latin typeface="Iansui" pitchFamily="2" charset="-120"/>
          </a:endParaRPr>
        </a:p>
      </xdr:txBody>
    </xdr:sp>
    <xdr:clientData/>
  </xdr:twoCellAnchor>
  <xdr:twoCellAnchor>
    <xdr:from>
      <xdr:col>0</xdr:col>
      <xdr:colOff>635000</xdr:colOff>
      <xdr:row>8</xdr:row>
      <xdr:rowOff>127000</xdr:rowOff>
    </xdr:from>
    <xdr:to>
      <xdr:col>12</xdr:col>
      <xdr:colOff>25400</xdr:colOff>
      <xdr:row>10</xdr:row>
      <xdr:rowOff>63500</xdr:rowOff>
    </xdr:to>
    <xdr:sp macro="" textlink="">
      <xdr:nvSpPr>
        <xdr:cNvPr id="5" name="矩形: 圓角 4">
          <a:extLst>
            <a:ext uri="{FF2B5EF4-FFF2-40B4-BE49-F238E27FC236}">
              <a16:creationId xmlns:a16="http://schemas.microsoft.com/office/drawing/2014/main" id="{669C3DF4-7BBC-7022-40D1-014D307DC36B}"/>
            </a:ext>
          </a:extLst>
        </xdr:cNvPr>
        <xdr:cNvSpPr/>
      </xdr:nvSpPr>
      <xdr:spPr>
        <a:xfrm>
          <a:off x="635000" y="2413000"/>
          <a:ext cx="7620000" cy="508000"/>
        </a:xfrm>
        <a:prstGeom prst="roundRect">
          <a:avLst/>
        </a:prstGeom>
        <a:solidFill>
          <a:srgbClr val="90EE9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0" rtlCol="0" anchor="t"/>
        <a:lstStyle/>
        <a:p>
          <a:pPr algn="l"/>
          <a:r>
            <a:rPr lang="zh-TW" altLang="en-US" sz="1800" b="1">
              <a:solidFill>
                <a:srgbClr val="323232"/>
              </a:solidFill>
              <a:latin typeface="Segoe UI Emoji" panose="020B0502040204020203" pitchFamily="34" charset="0"/>
            </a:rPr>
            <a:t>⚽ </a:t>
          </a:r>
          <a:r>
            <a:rPr lang="en-US" altLang="zh-TW" sz="1800" b="1">
              <a:solidFill>
                <a:srgbClr val="323232"/>
              </a:solidFill>
              <a:latin typeface="Iansui" pitchFamily="2" charset="-120"/>
            </a:rPr>
            <a:t>Nomad </a:t>
          </a:r>
          <a:r>
            <a:rPr lang="zh-TW" altLang="en-US" sz="1800" b="1">
              <a:solidFill>
                <a:srgbClr val="323232"/>
              </a:solidFill>
              <a:latin typeface="Iansui" pitchFamily="2" charset="-120"/>
            </a:rPr>
            <a:t>拿回</a:t>
          </a:r>
          <a:r>
            <a:rPr lang="en-US" altLang="zh-TW" sz="1800" b="1">
              <a:solidFill>
                <a:srgbClr val="323232"/>
              </a:solidFill>
              <a:latin typeface="Iansui" pitchFamily="2" charset="-120"/>
            </a:rPr>
            <a:t>: $4,566</a:t>
          </a:r>
          <a:endParaRPr lang="zh-TW" altLang="en-US" sz="1800" b="1">
            <a:solidFill>
              <a:srgbClr val="323232"/>
            </a:solidFill>
            <a:latin typeface="Iansui" pitchFamily="2" charset="-12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584200</xdr:colOff>
      <xdr:row>1</xdr:row>
      <xdr:rowOff>85725</xdr:rowOff>
    </xdr:to>
    <xdr:sp macro="GoToHome" textlink="">
      <xdr:nvSpPr>
        <xdr:cNvPr id="6" name="矩形: 圓角 5">
          <a:extLst>
            <a:ext uri="{FF2B5EF4-FFF2-40B4-BE49-F238E27FC236}">
              <a16:creationId xmlns:a16="http://schemas.microsoft.com/office/drawing/2014/main" id="{885FB8F5-5BB2-BE53-D35B-8E671F649FA6}"/>
            </a:ext>
          </a:extLst>
        </xdr:cNvPr>
        <xdr:cNvSpPr/>
      </xdr:nvSpPr>
      <xdr:spPr>
        <a:xfrm>
          <a:off x="0" y="0"/>
          <a:ext cx="1270000" cy="381000"/>
        </a:xfrm>
        <a:prstGeom prst="roundRect">
          <a:avLst/>
        </a:prstGeom>
        <a:solidFill>
          <a:srgbClr val="DCDCD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200" b="1">
              <a:solidFill>
                <a:srgbClr val="323232"/>
              </a:solidFill>
              <a:latin typeface="Segoe UI Emoji" panose="020B0502040204020203" pitchFamily="34" charset="0"/>
            </a:rPr>
            <a:t>🏠</a:t>
          </a:r>
          <a:r>
            <a:rPr lang="zh-TW" altLang="en-US" sz="1200" b="1">
              <a:solidFill>
                <a:srgbClr val="323232"/>
              </a:solidFill>
              <a:latin typeface="Iansui" pitchFamily="2" charset="-120"/>
            </a:rPr>
            <a:t> 回首頁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254000</xdr:colOff>
      <xdr:row>2</xdr:row>
      <xdr:rowOff>0</xdr:rowOff>
    </xdr:from>
    <xdr:to>
      <xdr:col>33</xdr:col>
      <xdr:colOff>127000</xdr:colOff>
      <xdr:row>23</xdr:row>
      <xdr:rowOff>57150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CCF95B64-F102-A0D1-1BC9-8D0956484A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1270000</xdr:colOff>
      <xdr:row>1</xdr:row>
      <xdr:rowOff>85725</xdr:rowOff>
    </xdr:to>
    <xdr:sp macro="GoToHome" textlink="">
      <xdr:nvSpPr>
        <xdr:cNvPr id="3" name="矩形: 圓角 2">
          <a:extLst>
            <a:ext uri="{FF2B5EF4-FFF2-40B4-BE49-F238E27FC236}">
              <a16:creationId xmlns:a16="http://schemas.microsoft.com/office/drawing/2014/main" id="{11FCEDA0-0A8E-DE56-AB3B-4CD0A0E4E85E}"/>
            </a:ext>
          </a:extLst>
        </xdr:cNvPr>
        <xdr:cNvSpPr/>
      </xdr:nvSpPr>
      <xdr:spPr>
        <a:xfrm>
          <a:off x="0" y="0"/>
          <a:ext cx="1270000" cy="381000"/>
        </a:xfrm>
        <a:prstGeom prst="roundRect">
          <a:avLst/>
        </a:prstGeom>
        <a:solidFill>
          <a:srgbClr val="DCDCD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200" b="1">
              <a:solidFill>
                <a:srgbClr val="323232"/>
              </a:solidFill>
              <a:latin typeface="Segoe UI Emoji" panose="020B0502040204020203" pitchFamily="34" charset="0"/>
            </a:rPr>
            <a:t>🏠</a:t>
          </a:r>
          <a:r>
            <a:rPr lang="zh-TW" altLang="en-US" sz="1200" b="1">
              <a:solidFill>
                <a:srgbClr val="323232"/>
              </a:solidFill>
              <a:latin typeface="Iansui" pitchFamily="2" charset="-120"/>
            </a:rPr>
            <a:t> 回首頁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254000</xdr:colOff>
      <xdr:row>14</xdr:row>
      <xdr:rowOff>0</xdr:rowOff>
    </xdr:from>
    <xdr:to>
      <xdr:col>32</xdr:col>
      <xdr:colOff>127000</xdr:colOff>
      <xdr:row>36</xdr:row>
      <xdr:rowOff>285750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84F736A1-7647-6977-BDA8-EA906887FE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</xdr:col>
      <xdr:colOff>136525</xdr:colOff>
      <xdr:row>1</xdr:row>
      <xdr:rowOff>85725</xdr:rowOff>
    </xdr:to>
    <xdr:sp macro="GoToHome" textlink="">
      <xdr:nvSpPr>
        <xdr:cNvPr id="3" name="矩形: 圓角 2">
          <a:extLst>
            <a:ext uri="{FF2B5EF4-FFF2-40B4-BE49-F238E27FC236}">
              <a16:creationId xmlns:a16="http://schemas.microsoft.com/office/drawing/2014/main" id="{78F7CA12-2208-5B4F-59FA-2194D64FAE72}"/>
            </a:ext>
          </a:extLst>
        </xdr:cNvPr>
        <xdr:cNvSpPr/>
      </xdr:nvSpPr>
      <xdr:spPr>
        <a:xfrm>
          <a:off x="0" y="0"/>
          <a:ext cx="1270000" cy="381000"/>
        </a:xfrm>
        <a:prstGeom prst="roundRect">
          <a:avLst/>
        </a:prstGeom>
        <a:solidFill>
          <a:srgbClr val="DCDCD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200" b="1">
              <a:solidFill>
                <a:srgbClr val="323232"/>
              </a:solidFill>
              <a:latin typeface="Segoe UI Emoji" panose="020B0502040204020203" pitchFamily="34" charset="0"/>
            </a:rPr>
            <a:t>🏠</a:t>
          </a:r>
          <a:r>
            <a:rPr lang="zh-TW" altLang="en-US" sz="1200" b="1">
              <a:solidFill>
                <a:srgbClr val="323232"/>
              </a:solidFill>
              <a:latin typeface="Iansui" pitchFamily="2" charset="-120"/>
            </a:rPr>
            <a:t> 回首頁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254000</xdr:colOff>
      <xdr:row>11</xdr:row>
      <xdr:rowOff>0</xdr:rowOff>
    </xdr:from>
    <xdr:to>
      <xdr:col>32</xdr:col>
      <xdr:colOff>127000</xdr:colOff>
      <xdr:row>33</xdr:row>
      <xdr:rowOff>285750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CF6C6AE1-0315-3424-977C-1C3AB1FA2D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</xdr:col>
      <xdr:colOff>136525</xdr:colOff>
      <xdr:row>1</xdr:row>
      <xdr:rowOff>85725</xdr:rowOff>
    </xdr:to>
    <xdr:sp macro="GoToHome" textlink="">
      <xdr:nvSpPr>
        <xdr:cNvPr id="3" name="矩形: 圓角 2">
          <a:extLst>
            <a:ext uri="{FF2B5EF4-FFF2-40B4-BE49-F238E27FC236}">
              <a16:creationId xmlns:a16="http://schemas.microsoft.com/office/drawing/2014/main" id="{6842AE95-2414-6A51-23E3-F7777B26E02E}"/>
            </a:ext>
          </a:extLst>
        </xdr:cNvPr>
        <xdr:cNvSpPr/>
      </xdr:nvSpPr>
      <xdr:spPr>
        <a:xfrm>
          <a:off x="0" y="0"/>
          <a:ext cx="1270000" cy="381000"/>
        </a:xfrm>
        <a:prstGeom prst="roundRect">
          <a:avLst/>
        </a:prstGeom>
        <a:solidFill>
          <a:srgbClr val="DCDCD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200" b="1">
              <a:solidFill>
                <a:srgbClr val="323232"/>
              </a:solidFill>
              <a:latin typeface="Segoe UI Emoji" panose="020B0502040204020203" pitchFamily="34" charset="0"/>
            </a:rPr>
            <a:t>🏠</a:t>
          </a:r>
          <a:r>
            <a:rPr lang="zh-TW" altLang="en-US" sz="1200" b="1">
              <a:solidFill>
                <a:srgbClr val="323232"/>
              </a:solidFill>
              <a:latin typeface="Iansui" pitchFamily="2" charset="-120"/>
            </a:rPr>
            <a:t> 回首頁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254000</xdr:colOff>
      <xdr:row>11</xdr:row>
      <xdr:rowOff>0</xdr:rowOff>
    </xdr:from>
    <xdr:to>
      <xdr:col>32</xdr:col>
      <xdr:colOff>127000</xdr:colOff>
      <xdr:row>34</xdr:row>
      <xdr:rowOff>200025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E0A7335C-BFAC-40FF-D702-E8641BBF57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</xdr:col>
      <xdr:colOff>136525</xdr:colOff>
      <xdr:row>1</xdr:row>
      <xdr:rowOff>85725</xdr:rowOff>
    </xdr:to>
    <xdr:sp macro="GoToHome" textlink="">
      <xdr:nvSpPr>
        <xdr:cNvPr id="3" name="矩形: 圓角 2">
          <a:extLst>
            <a:ext uri="{FF2B5EF4-FFF2-40B4-BE49-F238E27FC236}">
              <a16:creationId xmlns:a16="http://schemas.microsoft.com/office/drawing/2014/main" id="{8804EF4C-99D5-652B-F810-6662419EC8A8}"/>
            </a:ext>
          </a:extLst>
        </xdr:cNvPr>
        <xdr:cNvSpPr/>
      </xdr:nvSpPr>
      <xdr:spPr>
        <a:xfrm>
          <a:off x="0" y="0"/>
          <a:ext cx="1270000" cy="381000"/>
        </a:xfrm>
        <a:prstGeom prst="roundRect">
          <a:avLst/>
        </a:prstGeom>
        <a:solidFill>
          <a:srgbClr val="DCDCD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200" b="1">
              <a:solidFill>
                <a:srgbClr val="323232"/>
              </a:solidFill>
              <a:latin typeface="Segoe UI Emoji" panose="020B0502040204020203" pitchFamily="34" charset="0"/>
            </a:rPr>
            <a:t>🏠</a:t>
          </a:r>
          <a:r>
            <a:rPr lang="zh-TW" altLang="en-US" sz="1200" b="1">
              <a:solidFill>
                <a:srgbClr val="323232"/>
              </a:solidFill>
              <a:latin typeface="Iansui" pitchFamily="2" charset="-120"/>
            </a:rPr>
            <a:t> 回首頁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B88757-296F-4274-8A10-155970605273}" name="表格1" displayName="表格1" ref="A3:M11" totalsRowShown="0" headerRowDxfId="205" dataDxfId="204">
  <autoFilter ref="A3:M11" xr:uid="{21B88757-296F-4274-8A10-155970605273}"/>
  <tableColumns count="13">
    <tableColumn id="1" xr3:uid="{C5F2E980-5997-457B-990F-3771224C6650}" name="expenseId" dataDxfId="203"/>
    <tableColumn id="2" xr3:uid="{DE8D0EF2-5B6C-43E6-AE0B-F570A20EDDFE}" name="date" dataDxfId="202"/>
    <tableColumn id="3" xr3:uid="{55DDECA4-DF4A-4D06-A727-7FD59E09701A}" name="category" dataDxfId="201"/>
    <tableColumn id="4" xr3:uid="{4C556047-7E09-4AA7-8D89-C2A2F0F62E1A}" name="description" dataDxfId="200"/>
    <tableColumn id="5" xr3:uid="{59075A43-BEDA-4358-A5F2-B8F2F44720F0}" name="amount" dataDxfId="199"/>
    <tableColumn id="6" xr3:uid="{FCDF409D-50B5-4D39-97B2-D958F375376E}" name="currency" dataDxfId="198"/>
    <tableColumn id="7" xr3:uid="{29DAFA70-1828-4705-912F-E58094FB6256}" name="appliedRate" dataDxfId="197"/>
    <tableColumn id="8" xr3:uid="{3411B00E-4407-4098-AC8C-0F15596AF74D}" name="twdEquivalent" dataDxfId="196"/>
    <tableColumn id="9" xr3:uid="{230397F4-7E08-48EF-85B3-1C2EB9248551}" name="payerUID" dataDxfId="195"/>
    <tableColumn id="10" xr3:uid="{ECB94169-0A92-4853-B73C-FD824E515A68}" name="shares" dataDxfId="194"/>
    <tableColumn id="11" xr3:uid="{785AAB93-E6BC-4786-971B-6037A441D1CA}" name="paymentMethod" dataDxfId="193"/>
    <tableColumn id="12" xr3:uid="{78BEFC8A-DFC7-45FA-AE74-334F04BBE6D8}" name="walletId" dataDxfId="192"/>
    <tableColumn id="13" xr3:uid="{3065B50D-1276-4C06-96D6-46EEC397D07B}" name="notes" dataDxfId="19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476408B-B9CA-4F93-A0DB-635D423ED6F1}" name="表格2" displayName="表格2" ref="A3:G7" totalsRowShown="0" headerRowDxfId="190" dataDxfId="189">
  <autoFilter ref="A3:G7" xr:uid="{3476408B-B9CA-4F93-A0DB-635D423ED6F1}"/>
  <tableColumns count="7">
    <tableColumn id="1" xr3:uid="{BED8A893-CD28-458B-8927-0D0E6259055B}" name="walletId" dataDxfId="188"/>
    <tableColumn id="2" xr3:uid="{63CC406F-F168-4289-B4E3-3AB8E3834C0C}" name="ownerUID" dataDxfId="187"/>
    <tableColumn id="3" xr3:uid="{8B9880A3-CA27-44BA-9163-9A187BC78F00}" name="currency" dataDxfId="186"/>
    <tableColumn id="4" xr3:uid="{72536AB2-3569-4EE8-ADA9-19AA3229B76C}" name="originalAmount" dataDxfId="185"/>
    <tableColumn id="5" xr3:uid="{90340387-7CD7-4271-91A6-7E771A9E80F6}" name="balance" dataDxfId="184"/>
    <tableColumn id="6" xr3:uid="{D970668C-6CF5-4D6D-B408-91C77A9BBBFB}" name="rate" dataDxfId="183"/>
    <tableColumn id="7" xr3:uid="{5D1B290B-0467-4098-B526-998761A750DA}" name="createdAt" dataDxfId="18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112FAD9-D066-43E9-B9E1-604DB5F6926A}" name="表格15" displayName="表格15" ref="B12:H15" totalsRowShown="0" headerRowDxfId="177" dataDxfId="178">
  <autoFilter ref="B12:H15" xr:uid="{6112FAD9-D066-43E9-B9E1-604DB5F6926A}"/>
  <tableColumns count="7">
    <tableColumn id="1" xr3:uid="{3B5C2715-EF19-49D4-9DC8-42EB4757DD4D}" name="成員" dataDxfId="175"/>
    <tableColumn id="2" xr3:uid="{2E89C017-EA19-471D-85BA-476219E4E431}" name="預繳/代墊(A)" dataDxfId="176"/>
    <tableColumn id="3" xr3:uid="{373FE347-F93E-4C84-A0CC-C12A3DB8297C}" name="應攤總額(B)" dataDxfId="181"/>
    <tableColumn id="4" xr3:uid="{54B5B7E2-0D15-47F0-8307-29BF7DB785C9}" name="公帳分回(C)" dataDxfId="180"/>
    <tableColumn id="5" xr3:uid="{B206248B-03F6-444F-9753-B7456E90C045}" name="公款殘值退回(D)" dataDxfId="179"/>
    <tableColumn id="6" xr3:uid="{DFCC5431-0617-469A-9E89-059E5D76B170}" name="最終應收/補" dataDxfId="174"/>
    <tableColumn id="7" xr3:uid="{CF389640-C9D0-4E56-9CDB-4EC3E9115846}" name="狀態" dataDxfId="17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A005A822-73BA-4D9C-9F8D-3E2EC1290F75}" name="表格35" displayName="表格35" ref="A3:L10" totalsRowCount="1" headerRowDxfId="167" dataDxfId="168">
  <autoFilter ref="A3:L9" xr:uid="{A005A822-73BA-4D9C-9F8D-3E2EC1290F75}"/>
  <sortState xmlns:xlrd2="http://schemas.microsoft.com/office/spreadsheetml/2017/richdata2" ref="A4:L9">
    <sortCondition ref="A4:A9"/>
  </sortState>
  <tableColumns count="12">
    <tableColumn id="1" xr3:uid="{16338C72-141F-4856-AB5C-262A6F7794E8}" name="日期" totalsRowLabel="合計" dataDxfId="172" totalsRowDxfId="166"/>
    <tableColumn id="2" xr3:uid="{D83ABBDE-5E73-4AAB-8C8F-0304E10C325A}" name="屬性" dataDxfId="157" totalsRowDxfId="165"/>
    <tableColumn id="3" xr3:uid="{3DF8BB86-E1D6-4D9F-92A6-2195EADFE1D4}" name="類別" dataDxfId="156" totalsRowDxfId="155"/>
    <tableColumn id="4" xr3:uid="{E3E00D57-BE0A-4607-B8FE-4381CDA11DF2}" name="描述" dataDxfId="154" totalsRowDxfId="164"/>
    <tableColumn id="5" xr3:uid="{6C4BCC4A-852D-48C9-91F9-5B0E9A5445E3}" name="支付者" dataDxfId="152" totalsRowDxfId="151"/>
    <tableColumn id="6" xr3:uid="{F82CD5E6-A1C4-46E3-BFE3-56A4E3F4FA32}" name="方式" dataDxfId="153" totalsRowDxfId="163"/>
    <tableColumn id="7" xr3:uid="{212BE724-051E-4EB1-B78A-F30F5B74E478}" name="原幣" dataDxfId="171" totalsRowDxfId="162"/>
    <tableColumn id="8" xr3:uid="{EA4041D1-32F3-4136-B4F6-9BC6FCE1A81A}" name="原幣額" totalsRowFunction="sum" dataDxfId="170" totalsRowDxfId="160"/>
    <tableColumn id="9" xr3:uid="{438DEA36-9A00-47AB-B0AF-6734F6B3B0E7}" name="匯率" dataDxfId="169" totalsRowDxfId="161"/>
    <tableColumn id="10" xr3:uid="{7FC67E4B-BA2A-4FFF-9215-638CD2C908FF}" name="台幣總額" totalsRowFunction="sum" dataDxfId="150" totalsRowDxfId="159"/>
    <tableColumn id="11" xr3:uid="{3021ED96-6F4F-44B8-8849-F96B1E5708BE}" name="分攤名單" dataDxfId="148" totalsRowDxfId="147"/>
    <tableColumn id="12" xr3:uid="{F70BB08A-B05B-447D-95F4-7695B4643D3C}" name="每人應攤" totalsRowFunction="sum" dataDxfId="149" totalsRowDxfId="15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DBF6A41C-96B2-4921-8AD6-01C1231E5C39}" name="Tbl_Summary_Group_Details_N3" displayName="Tbl_Summary_Group_Details_N3" ref="N3:Q7" totalsRowCount="1" headerRowDxfId="146" dataDxfId="144" totalsRowDxfId="145">
  <autoFilter ref="N3:Q6" xr:uid="{DBF6A41C-96B2-4921-8AD6-01C1231E5C39}"/>
  <tableColumns count="4">
    <tableColumn id="1" xr3:uid="{37DA34F2-34CE-46EF-8745-849417B9F9A7}" name="圖例" totalsRowLabel="合計" dataDxfId="142" totalsRowDxfId="143"/>
    <tableColumn id="2" xr3:uid="{0AE4130F-F49D-4A85-B635-B27635758070}" name="消費類別" dataDxfId="140" totalsRowDxfId="141"/>
    <tableColumn id="3" xr3:uid="{8BE0C82F-AEDA-4C61-9643-C84B6F997324}" name="總金額" totalsRowFunction="sum" dataDxfId="138" totalsRowDxfId="139"/>
    <tableColumn id="4" xr3:uid="{E13B02FE-F264-4FB5-9A8E-171B02E4C730}" name="佔比 (%)" totalsRowFunction="sum" dataDxfId="137" totalsRowDxfId="13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373A8F33-D8DF-4CF6-8CB0-CBF65B1E563F}" name="表格37" displayName="表格37" ref="A4:F8" totalsRowCount="1" headerRowDxfId="131" dataDxfId="132">
  <autoFilter ref="A4:F7" xr:uid="{373A8F33-D8DF-4CF6-8CB0-CBF65B1E563F}"/>
  <tableColumns count="6">
    <tableColumn id="1" xr3:uid="{2A4715CE-E2AA-4894-BF9C-6C7FBEEC49CC}" name="錢包ID" totalsRowLabel="合計" dataDxfId="135" totalsRowDxfId="130"/>
    <tableColumn id="2" xr3:uid="{AC321201-D4FB-466F-BA68-CF2A0FA1136D}" name="幣別" dataDxfId="102" totalsRowDxfId="129"/>
    <tableColumn id="3" xr3:uid="{E7B79CCC-2BBA-4D03-B9D3-BCAEBFCDD1D0}" name="初始額度" totalsRowFunction="sum" dataDxfId="100" totalsRowDxfId="99"/>
    <tableColumn id="4" xr3:uid="{B55BB3D7-6064-4320-B60C-4927B8F2F020}" name="本表記錄流出" totalsRowFunction="sum" dataDxfId="101" totalsRowDxfId="127"/>
    <tableColumn id="5" xr3:uid="{4663C021-8A66-4D02-8A3E-58AF32E28B4F}" name="結算估計剩餘" totalsRowFunction="sum" dataDxfId="134" totalsRowDxfId="126"/>
    <tableColumn id="6" xr3:uid="{DCC485C7-107C-4845-AB68-5A97BDA702DE}" name="匯率" totalsRowFunction="sum" dataDxfId="133" totalsRowDxfId="12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97502E6D-3F18-44ED-B515-F0755A524941}" name="表格38" displayName="表格38" ref="A11:E12" totalsRowShown="0" headerRowDxfId="123" dataDxfId="124">
  <autoFilter ref="A11:E12" xr:uid="{97502E6D-3F18-44ED-B515-F0755A524941}"/>
  <tableColumns count="5">
    <tableColumn id="1" xr3:uid="{FD31CB19-CEAD-4CC5-BCF3-51A014611B86}" name="總代墊(A)" dataDxfId="125"/>
    <tableColumn id="2" xr3:uid="{1B36C575-524D-428D-A8AA-7B3FA9CA5664}" name="應攤總負擔(B)" dataDxfId="98"/>
    <tableColumn id="3" xr3:uid="{E3B0341B-698B-4AA7-A4DE-29DB9ECC518E}" name="公帳分回(C)" dataDxfId="96"/>
    <tableColumn id="4" xr3:uid="{C2510C6E-67B1-4214-A507-D91A10B2F360}" name="公款殘值退回(D)" dataDxfId="97"/>
    <tableColumn id="5" xr3:uid="{5EB9FFD4-B40F-43EA-8485-25B856922CE6}" name="淨應收/補狀態" dataDxfId="122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6BE55678-94A5-4CAF-9297-076C7EB40A7D}" name="表格39" displayName="表格39" ref="A15:K22" totalsRowCount="1" headerRowDxfId="112" dataDxfId="113">
  <autoFilter ref="A15:K21" xr:uid="{6BE55678-94A5-4CAF-9297-076C7EB40A7D}"/>
  <sortState xmlns:xlrd2="http://schemas.microsoft.com/office/spreadsheetml/2017/richdata2" ref="A16:K21">
    <sortCondition ref="A16:A21"/>
  </sortState>
  <tableColumns count="11">
    <tableColumn id="1" xr3:uid="{D19B69FE-1B0C-4F4C-AE00-55E7E8DC8733}" name="日期" totalsRowLabel="合計" dataDxfId="121" totalsRowDxfId="111"/>
    <tableColumn id="2" xr3:uid="{6BD66059-3AB2-44FC-AEE6-7D908A604661}" name="屬性"/>
    <tableColumn id="3" xr3:uid="{A27D882F-F75A-4C8F-BD6D-F69EC7158218}" name="類別" dataDxfId="94" totalsRowDxfId="93"/>
    <tableColumn id="4" xr3:uid="{BC75F9CF-F84E-4F28-B51E-ADBB25C0CE47}" name="描述" dataDxfId="95" totalsRowDxfId="110"/>
    <tableColumn id="5" xr3:uid="{545EC92B-39A4-466D-983C-AEF9011C53BB}" name="方式" dataDxfId="120" totalsRowDxfId="109"/>
    <tableColumn id="6" xr3:uid="{9469AE91-50C6-4852-AB0F-888F082ED8F4}" name="原幣" dataDxfId="119" totalsRowDxfId="108"/>
    <tableColumn id="7" xr3:uid="{CA8470B0-7971-4AE3-B607-9686BE7C3A18}" name="原幣額" dataDxfId="118" totalsRowDxfId="107"/>
    <tableColumn id="8" xr3:uid="{A52ED464-AC59-45AB-A128-6725C8957CD7}" name="匯率" dataDxfId="117" totalsRowDxfId="106"/>
    <tableColumn id="9" xr3:uid="{F91A8437-4772-40E3-A77F-CA9B147CB003}" name="台幣總額" totalsRowFunction="sum" dataDxfId="116" totalsRowDxfId="105"/>
    <tableColumn id="10" xr3:uid="{BE9F5F18-8F04-4BE0-869B-F00B5ADA63BA}" name="我的負擔" totalsRowFunction="sum" dataDxfId="115" totalsRowDxfId="104"/>
    <tableColumn id="11" xr3:uid="{A778D415-71D2-4242-A5D6-778F8029A853}" name="代墊債權" totalsRowFunction="sum" dataDxfId="114" totalsRowDxfId="103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62C0F708-5688-4468-BE31-281B9FFA7A9A}" name="Tbl_Summary_PS_Smile_M15" displayName="Tbl_Summary_PS_Smile_M15" ref="M15:P18" totalsRowCount="1" headerRowDxfId="92" dataDxfId="90" totalsRowDxfId="91">
  <autoFilter ref="M15:P17" xr:uid="{62C0F708-5688-4468-BE31-281B9FFA7A9A}"/>
  <tableColumns count="4">
    <tableColumn id="1" xr3:uid="{48D90BB8-D109-43AD-91E7-E3080650D05D}" name="圖例" totalsRowLabel="合計" dataDxfId="88" totalsRowDxfId="89"/>
    <tableColumn id="2" xr3:uid="{542349F4-1A9B-4D95-B3E0-CA4806179C74}" name="消費類別" dataDxfId="86" totalsRowDxfId="87"/>
    <tableColumn id="3" xr3:uid="{2FD693D7-8B88-4BE9-A6BF-A07FC1081525}" name="總金額" totalsRowFunction="sum" dataDxfId="84" totalsRowDxfId="85"/>
    <tableColumn id="4" xr3:uid="{59F45330-3E87-46DC-956B-01779B5E730A}" name="佔比 (%)" totalsRowFunction="sum" dataDxfId="83" totalsRowDxfId="8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AF7CB8F1-4037-4528-995B-A70D40A0EA5B}" name="表格41" displayName="表格41" ref="A8:E9" totalsRowShown="0" headerRowDxfId="79" dataDxfId="80">
  <autoFilter ref="A8:E9" xr:uid="{AF7CB8F1-4037-4528-995B-A70D40A0EA5B}"/>
  <tableColumns count="5">
    <tableColumn id="1" xr3:uid="{A0D753EE-23ED-4755-B862-4DBB03789C0C}" name="總代墊(A)" dataDxfId="81"/>
    <tableColumn id="2" xr3:uid="{2D7FFDD4-2D37-4B39-9DC3-994B893B3B0B}" name="應攤總負擔(B)" dataDxfId="58"/>
    <tableColumn id="3" xr3:uid="{62095101-A934-4657-B076-E1624D558E8E}" name="公帳分回(C)" dataDxfId="56"/>
    <tableColumn id="4" xr3:uid="{6E5B708B-2C01-4E36-882A-ABEF509E6FB0}" name="公款殘值退回(D)" dataDxfId="57"/>
    <tableColumn id="5" xr3:uid="{605B9738-E52F-402B-8DD2-F78F6A392071}" name="淨應收/補狀態" dataDxfId="7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B4289647-E42F-4B0F-A1BF-BC7942EF765A}" name="表格42" displayName="表格42" ref="A12:K17" totalsRowCount="1" headerRowDxfId="68" dataDxfId="69">
  <autoFilter ref="A12:K16" xr:uid="{B4289647-E42F-4B0F-A1BF-BC7942EF765A}"/>
  <sortState xmlns:xlrd2="http://schemas.microsoft.com/office/spreadsheetml/2017/richdata2" ref="A13:K16">
    <sortCondition ref="A13:A16"/>
  </sortState>
  <tableColumns count="11">
    <tableColumn id="1" xr3:uid="{3824809E-AD9D-44D3-8596-4A20EE696A10}" name="日期" totalsRowLabel="合計" dataDxfId="77" totalsRowDxfId="67"/>
    <tableColumn id="2" xr3:uid="{95034DBC-951D-489B-AC5A-6C5B0E32E050}" name="屬性"/>
    <tableColumn id="3" xr3:uid="{1A074EBE-5609-42CE-960F-0D8E2F2C687A}" name="類別" dataDxfId="54" totalsRowDxfId="53"/>
    <tableColumn id="4" xr3:uid="{CA84E78A-B040-4B93-9035-20203E707CE3}" name="描述" dataDxfId="55" totalsRowDxfId="66"/>
    <tableColumn id="5" xr3:uid="{AA705F6B-1FB6-4F1C-90CF-338485CF312C}" name="方式" dataDxfId="76" totalsRowDxfId="65"/>
    <tableColumn id="6" xr3:uid="{7A4A7DC4-7294-4649-A4C6-138F041D1E2C}" name="原幣" dataDxfId="75" totalsRowDxfId="64"/>
    <tableColumn id="7" xr3:uid="{2F926487-E249-4AFF-9F6A-40CED0538EA9}" name="原幣額" dataDxfId="74" totalsRowDxfId="63"/>
    <tableColumn id="8" xr3:uid="{A4B5DDEF-83F0-446C-AB13-DC9DF271D723}" name="匯率" dataDxfId="73" totalsRowDxfId="62"/>
    <tableColumn id="9" xr3:uid="{E3C18357-44C5-4DF2-9C96-64BB2B3901DD}" name="台幣總額" totalsRowFunction="sum" dataDxfId="72" totalsRowDxfId="61"/>
    <tableColumn id="10" xr3:uid="{EBE66D1C-2489-4435-AD4B-4235D11AA3C3}" name="我的負擔" totalsRowFunction="sum" dataDxfId="71" totalsRowDxfId="60"/>
    <tableColumn id="11" xr3:uid="{A3355774-7CEF-4004-A645-30F5C884635B}" name="代墊債權" totalsRowFunction="sum" dataDxfId="70" totalsRowDxfId="5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BE7988A2-5637-432C-8D7C-7C61DABB2C23}" name="Tbl_Summary_PS_Jiani_M12" displayName="Tbl_Summary_PS_Jiani_M12" ref="M12:P15" totalsRowCount="1" headerRowDxfId="52" dataDxfId="50" totalsRowDxfId="51">
  <autoFilter ref="M12:P14" xr:uid="{BE7988A2-5637-432C-8D7C-7C61DABB2C23}"/>
  <tableColumns count="4">
    <tableColumn id="1" xr3:uid="{E34AEBF2-8887-4B31-A6B6-D1C9897CA6FD}" name="圖例" totalsRowLabel="合計" dataDxfId="48" totalsRowDxfId="49"/>
    <tableColumn id="2" xr3:uid="{E1D899DA-330D-40EB-8A1F-6FE907C4E8A5}" name="消費類別" dataDxfId="46" totalsRowDxfId="47"/>
    <tableColumn id="3" xr3:uid="{1B66DEEE-88B1-4D8E-BF50-0AB71BD6C13D}" name="總金額" totalsRowFunction="sum" dataDxfId="44" totalsRowDxfId="45"/>
    <tableColumn id="4" xr3:uid="{EE7C1610-0BB3-4659-BF80-D5B1EAF88896}" name="佔比 (%)" totalsRowFunction="sum" dataDxfId="43" totalsRowDxfId="42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36BE208D-F202-44F3-BED3-62B5058E86F5}" name="表格44" displayName="表格44" ref="A8:E9" totalsRowShown="0" headerRowDxfId="39" dataDxfId="40">
  <autoFilter ref="A8:E9" xr:uid="{36BE208D-F202-44F3-BED3-62B5058E86F5}"/>
  <tableColumns count="5">
    <tableColumn id="1" xr3:uid="{F127752F-47E7-4DE8-A8DB-1339B5419916}" name="總代墊(A)" dataDxfId="41"/>
    <tableColumn id="2" xr3:uid="{7BFDF6A1-B793-4F04-9ADC-AA6C13DCF91F}" name="應攤總負擔(B)" dataDxfId="17"/>
    <tableColumn id="3" xr3:uid="{27A8435C-DC84-4CCB-B7BD-1A379A5C8A5E}" name="公帳分回(C)" dataDxfId="15"/>
    <tableColumn id="4" xr3:uid="{5D5F738E-650D-4F0F-BA0C-87A0A596F5C8}" name="公款殘值退回(D)" dataDxfId="16"/>
    <tableColumn id="5" xr3:uid="{8F3CDBB7-F177-4ABD-8094-CECE1B360030}" name="淨應收/補狀態" dataDxfId="38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C09B38D4-A360-4DA1-910D-7706ECB242D4}" name="表格45" displayName="表格45" ref="A12:K14" totalsRowCount="1" headerRowDxfId="28" dataDxfId="29">
  <autoFilter ref="A12:K13" xr:uid="{C09B38D4-A360-4DA1-910D-7706ECB242D4}"/>
  <sortState xmlns:xlrd2="http://schemas.microsoft.com/office/spreadsheetml/2017/richdata2" ref="A13:K13">
    <sortCondition ref="A13"/>
  </sortState>
  <tableColumns count="11">
    <tableColumn id="1" xr3:uid="{CA8E3AE2-17D5-43A7-8440-F41D31AF3952}" name="日期" totalsRowLabel="合計" dataDxfId="37" totalsRowDxfId="27"/>
    <tableColumn id="2" xr3:uid="{9064B13F-872E-4DDD-B47E-BFFDF3EDE778}" name="屬性" dataDxfId="14" totalsRowDxfId="26"/>
    <tableColumn id="3" xr3:uid="{50499192-7094-45A2-9C1D-1E8480379CB5}" name="類別" dataDxfId="12" totalsRowDxfId="11"/>
    <tableColumn id="4" xr3:uid="{109A4731-45AC-47F2-87D5-F1E6D9517E89}" name="描述" dataDxfId="13" totalsRowDxfId="25"/>
    <tableColumn id="5" xr3:uid="{E8601EA0-CF48-465E-9B64-ED0BC78ABB41}" name="方式" dataDxfId="36" totalsRowDxfId="24"/>
    <tableColumn id="6" xr3:uid="{2A8E2D20-5862-4CDE-A50E-E93F0950BB25}" name="原幣" dataDxfId="35" totalsRowDxfId="23"/>
    <tableColumn id="7" xr3:uid="{8AA83BA3-CDDA-48D6-8E1A-14D85F8C0D67}" name="原幣額" dataDxfId="34" totalsRowDxfId="22"/>
    <tableColumn id="8" xr3:uid="{92BF60D0-53F2-480B-97C7-CA4E77546C7F}" name="匯率" dataDxfId="33" totalsRowDxfId="21"/>
    <tableColumn id="9" xr3:uid="{4D7E9C86-C73F-41F1-83EE-DEFB5852D3E9}" name="台幣總額" totalsRowFunction="sum" dataDxfId="32" totalsRowDxfId="20"/>
    <tableColumn id="10" xr3:uid="{DC926E0F-14DA-4917-B235-175B48196157}" name="我的負擔" totalsRowFunction="sum" dataDxfId="31" totalsRowDxfId="19"/>
    <tableColumn id="11" xr3:uid="{E1C6E891-C817-490F-A5FF-4E6759F01E9C}" name="代墊債權" totalsRowFunction="sum" dataDxfId="30" totalsRowDxfId="18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C7184AE5-3E05-462D-AC76-EE0F03E61090}" name="Tbl_Summary_PS_Nomad_M12" displayName="Tbl_Summary_PS_Nomad_M12" ref="M12:P14" totalsRowCount="1" headerRowDxfId="10" dataDxfId="8" totalsRowDxfId="9">
  <autoFilter ref="M12:P13" xr:uid="{C7184AE5-3E05-462D-AC76-EE0F03E61090}"/>
  <tableColumns count="4">
    <tableColumn id="1" xr3:uid="{FF099CFB-D43F-4AFC-BEAC-29AA0BBB5E2D}" name="圖例" totalsRowLabel="合計" dataDxfId="0" totalsRowDxfId="7"/>
    <tableColumn id="2" xr3:uid="{B47BBE25-233D-48A3-B41A-43286C9D0E90}" name="消費類別" dataDxfId="5" totalsRowDxfId="6"/>
    <tableColumn id="3" xr3:uid="{5B41FC24-FC3F-4770-A7E0-C5CCFF03DBA1}" name="總金額" totalsRowFunction="sum" dataDxfId="3" totalsRowDxfId="4"/>
    <tableColumn id="4" xr3:uid="{BA32EA42-BDBF-4DCC-9112-533A39F4DD3F}" name="佔比 (%)" totalsRowFunction="sum" dataDxfId="2" totalsRow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7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drawing" Target="../drawings/drawing8.xml"/><Relationship Id="rId4" Type="http://schemas.openxmlformats.org/officeDocument/2006/relationships/table" Target="../tables/table1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drawing" Target="../drawings/drawing9.xml"/><Relationship Id="rId4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6A943-B5BD-4470-9C00-D50AD4B8F8BD}">
  <sheetPr codeName="工作表1"/>
  <dimension ref="A1:N10"/>
  <sheetViews>
    <sheetView workbookViewId="0"/>
  </sheetViews>
  <sheetFormatPr defaultRowHeight="16.5" x14ac:dyDescent="0.25"/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25">
      <c r="A2" t="s">
        <v>72</v>
      </c>
      <c r="B2" s="2">
        <v>46071.460416666669</v>
      </c>
      <c r="C2" t="s">
        <v>73</v>
      </c>
      <c r="D2" t="s">
        <v>71</v>
      </c>
      <c r="E2">
        <v>2000</v>
      </c>
      <c r="F2" t="s">
        <v>17</v>
      </c>
      <c r="G2">
        <v>33</v>
      </c>
      <c r="H2">
        <v>66000</v>
      </c>
      <c r="I2" t="s">
        <v>18</v>
      </c>
      <c r="J2" t="s">
        <v>19</v>
      </c>
      <c r="K2" t="s">
        <v>34</v>
      </c>
      <c r="L2" t="s">
        <v>70</v>
      </c>
      <c r="N2">
        <v>3</v>
      </c>
    </row>
    <row r="3" spans="1:14" x14ac:dyDescent="0.25">
      <c r="A3" t="s">
        <v>14</v>
      </c>
      <c r="B3" s="2">
        <v>46066.722916666666</v>
      </c>
      <c r="C3" t="s">
        <v>15</v>
      </c>
      <c r="D3" t="s">
        <v>16</v>
      </c>
      <c r="E3">
        <v>72</v>
      </c>
      <c r="F3" t="s">
        <v>17</v>
      </c>
      <c r="G3">
        <v>34.799999999999997</v>
      </c>
      <c r="H3">
        <v>2505.6</v>
      </c>
      <c r="I3" t="s">
        <v>18</v>
      </c>
      <c r="J3" t="s">
        <v>19</v>
      </c>
      <c r="K3" t="s">
        <v>20</v>
      </c>
      <c r="N3">
        <v>3</v>
      </c>
    </row>
    <row r="4" spans="1:14" x14ac:dyDescent="0.25">
      <c r="A4" t="s">
        <v>21</v>
      </c>
      <c r="B4" s="2">
        <v>46070.718055555553</v>
      </c>
      <c r="C4" t="s">
        <v>22</v>
      </c>
      <c r="D4" t="s">
        <v>23</v>
      </c>
      <c r="E4">
        <v>502</v>
      </c>
      <c r="F4" t="s">
        <v>24</v>
      </c>
      <c r="G4">
        <v>31.5</v>
      </c>
      <c r="H4">
        <v>15813</v>
      </c>
      <c r="I4" t="s">
        <v>25</v>
      </c>
      <c r="J4" t="s">
        <v>26</v>
      </c>
      <c r="K4" t="s">
        <v>20</v>
      </c>
      <c r="N4">
        <v>2</v>
      </c>
    </row>
    <row r="5" spans="1:14" x14ac:dyDescent="0.25">
      <c r="A5" t="s">
        <v>27</v>
      </c>
      <c r="B5" s="2">
        <v>46070.717361111114</v>
      </c>
      <c r="C5" t="s">
        <v>15</v>
      </c>
      <c r="D5" t="s">
        <v>28</v>
      </c>
      <c r="E5">
        <v>5001</v>
      </c>
      <c r="F5" t="s">
        <v>24</v>
      </c>
      <c r="G5">
        <v>31.5</v>
      </c>
      <c r="H5">
        <v>157531.5</v>
      </c>
      <c r="I5" t="s">
        <v>25</v>
      </c>
      <c r="J5" t="s">
        <v>26</v>
      </c>
      <c r="K5" t="s">
        <v>20</v>
      </c>
      <c r="N5">
        <v>2</v>
      </c>
    </row>
    <row r="6" spans="1:14" x14ac:dyDescent="0.25">
      <c r="A6" t="s">
        <v>29</v>
      </c>
      <c r="B6" s="2">
        <v>46063.490972222222</v>
      </c>
      <c r="C6" t="s">
        <v>30</v>
      </c>
      <c r="D6" t="s">
        <v>31</v>
      </c>
      <c r="E6">
        <v>400</v>
      </c>
      <c r="F6" t="s">
        <v>32</v>
      </c>
      <c r="G6">
        <v>0.33</v>
      </c>
      <c r="H6">
        <v>132</v>
      </c>
      <c r="I6" t="s">
        <v>33</v>
      </c>
      <c r="J6" t="s">
        <v>33</v>
      </c>
      <c r="K6" t="s">
        <v>34</v>
      </c>
      <c r="L6" t="s">
        <v>35</v>
      </c>
      <c r="N6">
        <v>1</v>
      </c>
    </row>
    <row r="7" spans="1:14" x14ac:dyDescent="0.25">
      <c r="A7" t="s">
        <v>36</v>
      </c>
      <c r="B7" s="2">
        <v>46063.490972222222</v>
      </c>
      <c r="C7" t="s">
        <v>15</v>
      </c>
      <c r="D7" t="s">
        <v>37</v>
      </c>
      <c r="E7">
        <v>500</v>
      </c>
      <c r="F7" t="s">
        <v>32</v>
      </c>
      <c r="G7">
        <v>0.33</v>
      </c>
      <c r="H7">
        <v>165</v>
      </c>
      <c r="I7" t="s">
        <v>33</v>
      </c>
      <c r="J7" t="s">
        <v>33</v>
      </c>
      <c r="K7" t="s">
        <v>34</v>
      </c>
      <c r="L7" t="s">
        <v>35</v>
      </c>
      <c r="N7">
        <v>1</v>
      </c>
    </row>
    <row r="8" spans="1:14" x14ac:dyDescent="0.25">
      <c r="A8" t="s">
        <v>38</v>
      </c>
      <c r="B8" s="2">
        <v>46063.490277777775</v>
      </c>
      <c r="C8" t="s">
        <v>15</v>
      </c>
      <c r="D8" t="s">
        <v>39</v>
      </c>
      <c r="E8">
        <v>700</v>
      </c>
      <c r="F8" t="s">
        <v>24</v>
      </c>
      <c r="G8">
        <v>40</v>
      </c>
      <c r="H8">
        <v>28000</v>
      </c>
      <c r="I8" t="s">
        <v>18</v>
      </c>
      <c r="J8" t="s">
        <v>26</v>
      </c>
      <c r="K8" t="s">
        <v>34</v>
      </c>
      <c r="L8" t="s">
        <v>40</v>
      </c>
      <c r="N8">
        <v>2</v>
      </c>
    </row>
    <row r="9" spans="1:14" x14ac:dyDescent="0.25">
      <c r="A9" t="s">
        <v>41</v>
      </c>
      <c r="B9" s="2">
        <v>46063.489583333336</v>
      </c>
      <c r="C9" t="s">
        <v>15</v>
      </c>
      <c r="D9" t="s">
        <v>42</v>
      </c>
      <c r="E9">
        <v>35</v>
      </c>
      <c r="F9" t="s">
        <v>24</v>
      </c>
      <c r="G9">
        <v>31.5</v>
      </c>
      <c r="H9">
        <v>1102.5</v>
      </c>
      <c r="I9" t="s">
        <v>18</v>
      </c>
      <c r="J9" t="s">
        <v>18</v>
      </c>
      <c r="K9" t="s">
        <v>20</v>
      </c>
      <c r="N9">
        <v>1</v>
      </c>
    </row>
    <row r="10" spans="1:14" x14ac:dyDescent="0.25">
      <c r="A10" t="s">
        <v>43</v>
      </c>
      <c r="B10" s="2">
        <v>46063.489583333336</v>
      </c>
      <c r="C10" t="s">
        <v>15</v>
      </c>
      <c r="D10" t="s">
        <v>44</v>
      </c>
      <c r="E10">
        <v>500</v>
      </c>
      <c r="F10" t="s">
        <v>24</v>
      </c>
      <c r="G10">
        <v>31.5</v>
      </c>
      <c r="H10">
        <v>15750</v>
      </c>
      <c r="I10" t="s">
        <v>18</v>
      </c>
      <c r="J10" t="s">
        <v>18</v>
      </c>
      <c r="K10" t="s">
        <v>20</v>
      </c>
      <c r="N10">
        <v>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827A8-9383-4447-9B30-99742E3380D8}">
  <sheetPr codeName="工作表2"/>
  <dimension ref="A1:G5"/>
  <sheetViews>
    <sheetView workbookViewId="0"/>
  </sheetViews>
  <sheetFormatPr defaultRowHeight="16.5" x14ac:dyDescent="0.25"/>
  <sheetData>
    <row r="1" spans="1:7" x14ac:dyDescent="0.25">
      <c r="A1" t="s">
        <v>11</v>
      </c>
      <c r="B1" t="s">
        <v>45</v>
      </c>
      <c r="C1" t="s">
        <v>5</v>
      </c>
      <c r="D1" t="s">
        <v>46</v>
      </c>
      <c r="E1" t="s">
        <v>47</v>
      </c>
      <c r="F1" t="s">
        <v>48</v>
      </c>
      <c r="G1" t="s">
        <v>49</v>
      </c>
    </row>
    <row r="2" spans="1:7" x14ac:dyDescent="0.25">
      <c r="A2" t="s">
        <v>40</v>
      </c>
      <c r="B2" t="s">
        <v>18</v>
      </c>
      <c r="C2" t="s">
        <v>24</v>
      </c>
      <c r="D2">
        <v>50000</v>
      </c>
      <c r="E2">
        <v>49300</v>
      </c>
      <c r="F2">
        <v>40</v>
      </c>
      <c r="G2" t="s">
        <v>50</v>
      </c>
    </row>
    <row r="3" spans="1:7" x14ac:dyDescent="0.25">
      <c r="A3" t="s">
        <v>35</v>
      </c>
      <c r="B3" t="s">
        <v>33</v>
      </c>
      <c r="C3" t="s">
        <v>32</v>
      </c>
      <c r="D3">
        <v>50000</v>
      </c>
      <c r="E3">
        <v>49100</v>
      </c>
      <c r="F3">
        <v>0.33</v>
      </c>
      <c r="G3" t="s">
        <v>51</v>
      </c>
    </row>
    <row r="4" spans="1:7" x14ac:dyDescent="0.25">
      <c r="A4" t="s">
        <v>69</v>
      </c>
      <c r="B4" t="s">
        <v>18</v>
      </c>
      <c r="C4" t="s">
        <v>32</v>
      </c>
      <c r="D4">
        <v>56000</v>
      </c>
      <c r="E4">
        <v>56000</v>
      </c>
      <c r="F4">
        <v>0.35</v>
      </c>
      <c r="G4" t="s">
        <v>74</v>
      </c>
    </row>
    <row r="5" spans="1:7" x14ac:dyDescent="0.25">
      <c r="A5" t="s">
        <v>70</v>
      </c>
      <c r="B5" t="s">
        <v>18</v>
      </c>
      <c r="C5" t="s">
        <v>17</v>
      </c>
      <c r="D5">
        <v>70000</v>
      </c>
      <c r="E5">
        <v>68000</v>
      </c>
      <c r="F5">
        <v>33</v>
      </c>
      <c r="G5" t="s">
        <v>75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80CAD-A4A1-4BC5-9FCF-F43116CC197F}">
  <sheetPr codeName="工作表39"/>
  <dimension ref="A1:E28"/>
  <sheetViews>
    <sheetView workbookViewId="0">
      <selection activeCell="B30" sqref="B30"/>
    </sheetView>
  </sheetViews>
  <sheetFormatPr defaultRowHeight="27" x14ac:dyDescent="0.25"/>
  <cols>
    <col min="1" max="1" width="14.125" style="12" customWidth="1"/>
    <col min="2" max="4" width="60.625" style="12" customWidth="1"/>
    <col min="5" max="16384" width="9" style="12"/>
  </cols>
  <sheetData>
    <row r="1" spans="1:5" x14ac:dyDescent="0.25">
      <c r="A1" s="24" t="s">
        <v>121</v>
      </c>
      <c r="B1" s="24"/>
      <c r="C1" s="24"/>
      <c r="D1" s="24"/>
    </row>
    <row r="2" spans="1:5" x14ac:dyDescent="0.25">
      <c r="A2" s="24" t="s">
        <v>122</v>
      </c>
      <c r="B2" s="24"/>
      <c r="C2" s="24"/>
      <c r="D2" s="24"/>
      <c r="E2" s="11"/>
    </row>
    <row r="3" spans="1:5" ht="27.75" thickBot="1" x14ac:dyDescent="0.3">
      <c r="A3" s="24" t="s">
        <v>89</v>
      </c>
      <c r="B3" s="24"/>
      <c r="C3" s="24"/>
      <c r="D3" s="24"/>
    </row>
    <row r="4" spans="1:5" ht="54.75" thickBot="1" x14ac:dyDescent="0.3">
      <c r="A4" s="13" t="s">
        <v>90</v>
      </c>
      <c r="B4" s="13" t="s">
        <v>91</v>
      </c>
      <c r="C4" s="13" t="s">
        <v>92</v>
      </c>
      <c r="D4" s="13" t="s">
        <v>93</v>
      </c>
    </row>
    <row r="5" spans="1:5" ht="81.75" thickBot="1" x14ac:dyDescent="0.3">
      <c r="A5" s="13" t="s">
        <v>84</v>
      </c>
      <c r="B5" s="14" t="s">
        <v>94</v>
      </c>
      <c r="C5" s="14" t="s">
        <v>95</v>
      </c>
      <c r="D5" s="14" t="s">
        <v>123</v>
      </c>
    </row>
    <row r="6" spans="1:5" ht="81.75" thickBot="1" x14ac:dyDescent="0.3">
      <c r="A6" s="13" t="s">
        <v>96</v>
      </c>
      <c r="B6" s="14" t="s">
        <v>97</v>
      </c>
      <c r="C6" s="14" t="s">
        <v>98</v>
      </c>
      <c r="D6" s="14" t="s">
        <v>124</v>
      </c>
    </row>
    <row r="7" spans="1:5" ht="54.75" thickBot="1" x14ac:dyDescent="0.3">
      <c r="A7" s="13" t="s">
        <v>86</v>
      </c>
      <c r="B7" s="14" t="s">
        <v>99</v>
      </c>
      <c r="C7" s="14" t="s">
        <v>100</v>
      </c>
      <c r="D7" s="14" t="s">
        <v>101</v>
      </c>
    </row>
    <row r="8" spans="1:5" ht="54.75" thickBot="1" x14ac:dyDescent="0.3">
      <c r="A8" s="13" t="s">
        <v>85</v>
      </c>
      <c r="B8" s="14" t="s">
        <v>102</v>
      </c>
      <c r="C8" s="14" t="s">
        <v>103</v>
      </c>
      <c r="D8" s="14" t="s">
        <v>104</v>
      </c>
    </row>
    <row r="9" spans="1:5" ht="54.75" thickBot="1" x14ac:dyDescent="0.3">
      <c r="A9" s="13" t="s">
        <v>105</v>
      </c>
      <c r="B9" s="14" t="s">
        <v>106</v>
      </c>
      <c r="C9" s="14" t="s">
        <v>107</v>
      </c>
      <c r="D9" s="14" t="s">
        <v>125</v>
      </c>
    </row>
    <row r="10" spans="1:5" ht="81.75" thickBot="1" x14ac:dyDescent="0.3">
      <c r="A10" s="13" t="s">
        <v>108</v>
      </c>
      <c r="B10" s="14" t="s">
        <v>109</v>
      </c>
      <c r="C10" s="14" t="s">
        <v>110</v>
      </c>
      <c r="D10" s="14" t="s">
        <v>111</v>
      </c>
    </row>
    <row r="11" spans="1:5" ht="54.75" thickBot="1" x14ac:dyDescent="0.3">
      <c r="A11" s="13" t="s">
        <v>112</v>
      </c>
      <c r="B11" s="14" t="s">
        <v>113</v>
      </c>
      <c r="C11" s="14" t="s">
        <v>114</v>
      </c>
      <c r="D11" s="14" t="s">
        <v>115</v>
      </c>
    </row>
    <row r="12" spans="1:5" ht="54.75" thickBot="1" x14ac:dyDescent="0.3">
      <c r="A12" s="13" t="s">
        <v>116</v>
      </c>
      <c r="B12" s="14" t="s">
        <v>117</v>
      </c>
      <c r="C12" s="14" t="s">
        <v>118</v>
      </c>
      <c r="D12" s="14" t="s">
        <v>119</v>
      </c>
    </row>
    <row r="14" spans="1:5" x14ac:dyDescent="0.25">
      <c r="A14" s="24" t="s">
        <v>120</v>
      </c>
      <c r="B14" s="24"/>
      <c r="C14" s="24"/>
      <c r="D14" s="24"/>
    </row>
    <row r="15" spans="1:5" x14ac:dyDescent="0.25">
      <c r="A15" s="24" t="s">
        <v>126</v>
      </c>
      <c r="B15" s="24"/>
      <c r="C15" s="24"/>
      <c r="D15" s="24"/>
    </row>
    <row r="16" spans="1:5" x14ac:dyDescent="0.25">
      <c r="A16" s="24" t="s">
        <v>127</v>
      </c>
      <c r="B16" s="24"/>
      <c r="C16" s="24"/>
      <c r="D16" s="24"/>
    </row>
    <row r="17" spans="1:4" x14ac:dyDescent="0.25">
      <c r="A17" s="24" t="s">
        <v>128</v>
      </c>
      <c r="B17" s="24"/>
      <c r="C17" s="24"/>
      <c r="D17" s="24"/>
    </row>
    <row r="18" spans="1:4" x14ac:dyDescent="0.25">
      <c r="A18" s="24" t="s">
        <v>129</v>
      </c>
      <c r="B18" s="24"/>
      <c r="C18" s="24"/>
      <c r="D18" s="24"/>
    </row>
    <row r="19" spans="1:4" ht="27.75" thickBot="1" x14ac:dyDescent="0.3">
      <c r="A19" s="24"/>
      <c r="B19" s="24"/>
      <c r="C19" s="24"/>
      <c r="D19" s="24"/>
    </row>
    <row r="20" spans="1:4" ht="27.75" thickBot="1" x14ac:dyDescent="0.3">
      <c r="A20" s="13" t="s">
        <v>130</v>
      </c>
      <c r="B20" s="14" t="s">
        <v>131</v>
      </c>
      <c r="C20" s="14" t="s">
        <v>132</v>
      </c>
    </row>
    <row r="21" spans="1:4" ht="27.75" thickBot="1" x14ac:dyDescent="0.3">
      <c r="A21" s="13" t="s">
        <v>84</v>
      </c>
      <c r="B21" s="14" t="s">
        <v>133</v>
      </c>
      <c r="C21" s="14" t="s">
        <v>148</v>
      </c>
    </row>
    <row r="22" spans="1:4" ht="27.75" thickBot="1" x14ac:dyDescent="0.3">
      <c r="A22" s="13" t="s">
        <v>96</v>
      </c>
      <c r="B22" s="14" t="s">
        <v>134</v>
      </c>
      <c r="C22" s="14" t="s">
        <v>135</v>
      </c>
    </row>
    <row r="23" spans="1:4" ht="27.75" thickBot="1" x14ac:dyDescent="0.3">
      <c r="A23" s="13" t="s">
        <v>86</v>
      </c>
      <c r="B23" s="14" t="s">
        <v>136</v>
      </c>
      <c r="C23" s="14" t="s">
        <v>137</v>
      </c>
    </row>
    <row r="24" spans="1:4" ht="27.75" thickBot="1" x14ac:dyDescent="0.3">
      <c r="A24" s="13" t="s">
        <v>85</v>
      </c>
      <c r="B24" s="14" t="s">
        <v>138</v>
      </c>
      <c r="C24" s="14" t="s">
        <v>139</v>
      </c>
    </row>
    <row r="25" spans="1:4" ht="27.75" thickBot="1" x14ac:dyDescent="0.3">
      <c r="A25" s="13" t="s">
        <v>105</v>
      </c>
      <c r="B25" s="14" t="s">
        <v>140</v>
      </c>
      <c r="C25" s="14" t="s">
        <v>147</v>
      </c>
    </row>
    <row r="26" spans="1:4" ht="27.75" thickBot="1" x14ac:dyDescent="0.3">
      <c r="A26" s="13" t="s">
        <v>108</v>
      </c>
      <c r="B26" s="14" t="s">
        <v>141</v>
      </c>
      <c r="C26" s="14" t="s">
        <v>142</v>
      </c>
    </row>
    <row r="27" spans="1:4" ht="27.75" thickBot="1" x14ac:dyDescent="0.3">
      <c r="A27" s="13" t="s">
        <v>112</v>
      </c>
      <c r="B27" s="14" t="s">
        <v>143</v>
      </c>
      <c r="C27" s="14" t="s">
        <v>144</v>
      </c>
    </row>
    <row r="28" spans="1:4" ht="27.75" thickBot="1" x14ac:dyDescent="0.3">
      <c r="A28" s="13" t="s">
        <v>116</v>
      </c>
      <c r="B28" s="14" t="s">
        <v>145</v>
      </c>
      <c r="C28" s="14" t="s">
        <v>146</v>
      </c>
    </row>
  </sheetData>
  <mergeCells count="9">
    <mergeCell ref="A16:D16"/>
    <mergeCell ref="A17:D17"/>
    <mergeCell ref="A18:D18"/>
    <mergeCell ref="A19:D19"/>
    <mergeCell ref="A1:D1"/>
    <mergeCell ref="A2:D2"/>
    <mergeCell ref="A3:D3"/>
    <mergeCell ref="A14:D14"/>
    <mergeCell ref="A15:D15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80E1D-E449-40C0-AEDB-381046B45B92}">
  <sheetPr codeName="工作表47"/>
  <dimension ref="A1:Z100"/>
  <sheetViews>
    <sheetView workbookViewId="0">
      <selection activeCell="L28" sqref="L28"/>
    </sheetView>
  </sheetViews>
  <sheetFormatPr defaultRowHeight="17.25" x14ac:dyDescent="0.25"/>
  <cols>
    <col min="1" max="2" width="9" style="1"/>
    <col min="3" max="3" width="93.125" style="1" bestFit="1" customWidth="1"/>
    <col min="4" max="16384" width="9" style="1"/>
  </cols>
  <sheetData>
    <row r="1" spans="1:26" x14ac:dyDescent="0.25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</row>
    <row r="2" spans="1:26" x14ac:dyDescent="0.25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</row>
    <row r="3" spans="1:26" ht="38.25" x14ac:dyDescent="0.25">
      <c r="A3" s="8"/>
      <c r="B3" s="8"/>
      <c r="C3" s="9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</row>
    <row r="4" spans="1:26" x14ac:dyDescent="0.2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</row>
    <row r="5" spans="1:26" x14ac:dyDescent="0.2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</row>
    <row r="6" spans="1:26" x14ac:dyDescent="0.25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</row>
    <row r="7" spans="1:26" x14ac:dyDescent="0.2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</row>
    <row r="8" spans="1:26" x14ac:dyDescent="0.2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</row>
    <row r="9" spans="1:26" x14ac:dyDescent="0.2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</row>
    <row r="10" spans="1:26" x14ac:dyDescent="0.2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</row>
    <row r="11" spans="1:26" x14ac:dyDescent="0.25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</row>
    <row r="12" spans="1:26" x14ac:dyDescent="0.25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</row>
    <row r="13" spans="1:26" x14ac:dyDescent="0.25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</row>
    <row r="14" spans="1:26" x14ac:dyDescent="0.25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</row>
    <row r="15" spans="1:26" x14ac:dyDescent="0.25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</row>
    <row r="16" spans="1:26" x14ac:dyDescent="0.25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</row>
    <row r="17" spans="1:26" x14ac:dyDescent="0.25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</row>
    <row r="18" spans="1:26" x14ac:dyDescent="0.25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</row>
    <row r="19" spans="1:26" x14ac:dyDescent="0.25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</row>
    <row r="20" spans="1:26" x14ac:dyDescent="0.25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</row>
    <row r="21" spans="1:26" x14ac:dyDescent="0.25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</row>
    <row r="22" spans="1:26" x14ac:dyDescent="0.25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</row>
    <row r="23" spans="1:26" x14ac:dyDescent="0.25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</row>
    <row r="24" spans="1:26" x14ac:dyDescent="0.25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</row>
    <row r="25" spans="1:26" x14ac:dyDescent="0.25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</row>
    <row r="26" spans="1:26" x14ac:dyDescent="0.25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</row>
    <row r="27" spans="1:26" x14ac:dyDescent="0.25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</row>
    <row r="28" spans="1:26" x14ac:dyDescent="0.25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</row>
    <row r="29" spans="1:26" x14ac:dyDescent="0.25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</row>
    <row r="30" spans="1:26" x14ac:dyDescent="0.25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</row>
    <row r="31" spans="1:26" x14ac:dyDescent="0.25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</row>
    <row r="32" spans="1:26" x14ac:dyDescent="0.25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</row>
    <row r="33" spans="1:26" x14ac:dyDescent="0.25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</row>
    <row r="34" spans="1:26" x14ac:dyDescent="0.25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</row>
    <row r="35" spans="1:26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</row>
    <row r="36" spans="1:26" x14ac:dyDescent="0.25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</row>
    <row r="37" spans="1:26" x14ac:dyDescent="0.25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</row>
    <row r="38" spans="1:26" x14ac:dyDescent="0.25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</row>
    <row r="39" spans="1:26" x14ac:dyDescent="0.25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</row>
    <row r="40" spans="1:26" x14ac:dyDescent="0.25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</row>
    <row r="41" spans="1:26" x14ac:dyDescent="0.25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</row>
    <row r="42" spans="1:26" x14ac:dyDescent="0.25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</row>
    <row r="43" spans="1:26" x14ac:dyDescent="0.25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</row>
    <row r="44" spans="1:26" x14ac:dyDescent="0.25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</row>
    <row r="45" spans="1:26" x14ac:dyDescent="0.25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</row>
    <row r="46" spans="1:26" x14ac:dyDescent="0.25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</row>
    <row r="47" spans="1:26" x14ac:dyDescent="0.25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</row>
    <row r="48" spans="1:26" x14ac:dyDescent="0.25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</row>
    <row r="49" spans="1:26" x14ac:dyDescent="0.25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</row>
    <row r="50" spans="1:26" x14ac:dyDescent="0.25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</row>
    <row r="51" spans="1:26" x14ac:dyDescent="0.25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</row>
    <row r="52" spans="1:26" x14ac:dyDescent="0.25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</row>
    <row r="53" spans="1:26" x14ac:dyDescent="0.25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</row>
    <row r="54" spans="1:26" x14ac:dyDescent="0.25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</row>
    <row r="55" spans="1:26" x14ac:dyDescent="0.25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</row>
    <row r="56" spans="1:26" x14ac:dyDescent="0.25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</row>
    <row r="57" spans="1:26" x14ac:dyDescent="0.25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</row>
    <row r="58" spans="1:26" x14ac:dyDescent="0.25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</row>
    <row r="59" spans="1:26" x14ac:dyDescent="0.25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</row>
    <row r="60" spans="1:26" x14ac:dyDescent="0.25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</row>
    <row r="61" spans="1:26" x14ac:dyDescent="0.25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</row>
    <row r="62" spans="1:26" x14ac:dyDescent="0.25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26" x14ac:dyDescent="0.25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</row>
    <row r="64" spans="1:26" x14ac:dyDescent="0.25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</row>
    <row r="65" spans="1:26" x14ac:dyDescent="0.25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</row>
    <row r="66" spans="1:26" x14ac:dyDescent="0.25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</row>
    <row r="67" spans="1:26" x14ac:dyDescent="0.25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</row>
    <row r="68" spans="1:26" x14ac:dyDescent="0.25">
      <c r="A68" s="8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</row>
    <row r="69" spans="1:26" x14ac:dyDescent="0.25">
      <c r="A69" s="8"/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</row>
    <row r="70" spans="1:26" x14ac:dyDescent="0.25">
      <c r="A70" s="8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26" x14ac:dyDescent="0.25">
      <c r="A71" s="8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</row>
    <row r="72" spans="1:26" x14ac:dyDescent="0.25">
      <c r="A72" s="8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</row>
    <row r="73" spans="1:26" x14ac:dyDescent="0.25">
      <c r="A73" s="8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</row>
    <row r="74" spans="1:26" x14ac:dyDescent="0.25">
      <c r="A74" s="8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</row>
    <row r="75" spans="1:26" x14ac:dyDescent="0.25">
      <c r="A75" s="8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</row>
    <row r="76" spans="1:26" x14ac:dyDescent="0.25">
      <c r="A76" s="8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</row>
    <row r="77" spans="1:26" x14ac:dyDescent="0.25">
      <c r="A77" s="8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</row>
    <row r="78" spans="1:26" x14ac:dyDescent="0.25">
      <c r="A78" s="8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</row>
    <row r="79" spans="1:26" x14ac:dyDescent="0.25">
      <c r="A79" s="8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</row>
    <row r="80" spans="1:26" x14ac:dyDescent="0.25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</row>
    <row r="81" spans="1:26" x14ac:dyDescent="0.25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</row>
    <row r="82" spans="1:26" x14ac:dyDescent="0.25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</row>
    <row r="83" spans="1:26" x14ac:dyDescent="0.25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</row>
    <row r="84" spans="1:26" x14ac:dyDescent="0.25">
      <c r="A84" s="8"/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</row>
    <row r="85" spans="1:26" x14ac:dyDescent="0.25">
      <c r="A85" s="8"/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</row>
    <row r="86" spans="1:26" x14ac:dyDescent="0.25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</row>
    <row r="87" spans="1:26" x14ac:dyDescent="0.25">
      <c r="A87" s="8"/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</row>
    <row r="88" spans="1:26" x14ac:dyDescent="0.25">
      <c r="A88" s="8"/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</row>
    <row r="89" spans="1:26" x14ac:dyDescent="0.25">
      <c r="A89" s="8"/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</row>
    <row r="90" spans="1:26" x14ac:dyDescent="0.25">
      <c r="A90" s="8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</row>
    <row r="91" spans="1:26" x14ac:dyDescent="0.25">
      <c r="A91" s="8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</row>
    <row r="92" spans="1:26" x14ac:dyDescent="0.25">
      <c r="A92" s="8"/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</row>
    <row r="93" spans="1:26" x14ac:dyDescent="0.25">
      <c r="A93" s="8"/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</row>
    <row r="94" spans="1:26" x14ac:dyDescent="0.25">
      <c r="A94" s="8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</row>
    <row r="95" spans="1:26" x14ac:dyDescent="0.25">
      <c r="A95" s="8"/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</row>
    <row r="96" spans="1:26" x14ac:dyDescent="0.25">
      <c r="A96" s="8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</row>
    <row r="97" spans="1:26" x14ac:dyDescent="0.25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</row>
    <row r="98" spans="1:26" x14ac:dyDescent="0.25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</row>
    <row r="99" spans="1:26" x14ac:dyDescent="0.25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</row>
    <row r="100" spans="1:26" x14ac:dyDescent="0.25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C609-68E5-4C36-9ECE-4158B3DC08BA}">
  <sheetPr codeName="工作表3"/>
  <dimension ref="A3:M11"/>
  <sheetViews>
    <sheetView workbookViewId="0">
      <selection activeCell="A11" sqref="A11:M11"/>
    </sheetView>
  </sheetViews>
  <sheetFormatPr defaultRowHeight="22.5" x14ac:dyDescent="0.25"/>
  <cols>
    <col min="1" max="1" width="16.625" style="3" customWidth="1"/>
    <col min="2" max="2" width="24.75" style="3" bestFit="1" customWidth="1"/>
    <col min="3" max="3" width="16" style="3" bestFit="1" customWidth="1"/>
    <col min="4" max="4" width="19.875" style="3" bestFit="1" customWidth="1"/>
    <col min="5" max="5" width="14" style="3" bestFit="1" customWidth="1"/>
    <col min="6" max="6" width="16" style="3" bestFit="1" customWidth="1"/>
    <col min="7" max="7" width="20.5" style="3" bestFit="1" customWidth="1"/>
    <col min="8" max="8" width="23.875" style="3" bestFit="1" customWidth="1"/>
    <col min="9" max="9" width="16.875" style="3" bestFit="1" customWidth="1"/>
    <col min="10" max="10" width="24.25" style="3" bestFit="1" customWidth="1"/>
    <col min="11" max="11" width="26.375" style="3" bestFit="1" customWidth="1"/>
    <col min="12" max="12" width="26.625" style="3" bestFit="1" customWidth="1"/>
    <col min="13" max="13" width="11.375" style="3" bestFit="1" customWidth="1"/>
    <col min="14" max="16384" width="9" style="3"/>
  </cols>
  <sheetData>
    <row r="3" spans="1:13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12</v>
      </c>
    </row>
    <row r="4" spans="1:13" x14ac:dyDescent="0.25">
      <c r="A4" s="3" t="s">
        <v>14</v>
      </c>
      <c r="B4" s="4">
        <v>46066.722916666666</v>
      </c>
      <c r="C4" s="3" t="s">
        <v>84</v>
      </c>
      <c r="D4" s="3" t="s">
        <v>16</v>
      </c>
      <c r="E4" s="3">
        <v>72</v>
      </c>
      <c r="F4" s="3" t="s">
        <v>17</v>
      </c>
      <c r="G4" s="3">
        <v>34.799999999999997</v>
      </c>
      <c r="H4" s="3">
        <v>2505.6</v>
      </c>
      <c r="I4" s="3" t="s">
        <v>18</v>
      </c>
      <c r="J4" s="3" t="s">
        <v>19</v>
      </c>
      <c r="K4" s="3" t="s">
        <v>20</v>
      </c>
    </row>
    <row r="5" spans="1:13" x14ac:dyDescent="0.25">
      <c r="A5" s="3" t="s">
        <v>21</v>
      </c>
      <c r="B5" s="4">
        <v>46070.718055555553</v>
      </c>
      <c r="C5" s="3" t="s">
        <v>85</v>
      </c>
      <c r="D5" s="3" t="s">
        <v>23</v>
      </c>
      <c r="E5" s="3">
        <v>502</v>
      </c>
      <c r="F5" s="3" t="s">
        <v>24</v>
      </c>
      <c r="G5" s="3">
        <v>31.5</v>
      </c>
      <c r="H5" s="3">
        <v>15813</v>
      </c>
      <c r="I5" s="3" t="s">
        <v>25</v>
      </c>
      <c r="J5" s="3" t="s">
        <v>26</v>
      </c>
      <c r="K5" s="3" t="s">
        <v>20</v>
      </c>
    </row>
    <row r="6" spans="1:13" x14ac:dyDescent="0.25">
      <c r="A6" s="3" t="s">
        <v>27</v>
      </c>
      <c r="B6" s="4">
        <v>46070.717361111114</v>
      </c>
      <c r="C6" s="3" t="s">
        <v>84</v>
      </c>
      <c r="D6" s="3" t="s">
        <v>28</v>
      </c>
      <c r="E6" s="3">
        <v>5001</v>
      </c>
      <c r="F6" s="3" t="s">
        <v>24</v>
      </c>
      <c r="G6" s="3">
        <v>31.5</v>
      </c>
      <c r="H6" s="3">
        <v>157531.5</v>
      </c>
      <c r="I6" s="3" t="s">
        <v>25</v>
      </c>
      <c r="J6" s="3" t="s">
        <v>26</v>
      </c>
      <c r="K6" s="3" t="s">
        <v>20</v>
      </c>
    </row>
    <row r="7" spans="1:13" x14ac:dyDescent="0.25">
      <c r="A7" s="3" t="s">
        <v>29</v>
      </c>
      <c r="B7" s="4">
        <v>46063.490972222222</v>
      </c>
      <c r="C7" s="3" t="s">
        <v>86</v>
      </c>
      <c r="D7" s="3" t="s">
        <v>31</v>
      </c>
      <c r="E7" s="3">
        <v>400</v>
      </c>
      <c r="F7" s="3" t="s">
        <v>32</v>
      </c>
      <c r="G7" s="3">
        <v>0.33</v>
      </c>
      <c r="H7" s="3">
        <v>132</v>
      </c>
      <c r="I7" s="3" t="s">
        <v>33</v>
      </c>
      <c r="J7" s="3" t="s">
        <v>33</v>
      </c>
      <c r="K7" s="3" t="s">
        <v>34</v>
      </c>
      <c r="L7" s="3" t="s">
        <v>35</v>
      </c>
    </row>
    <row r="8" spans="1:13" x14ac:dyDescent="0.25">
      <c r="A8" s="3" t="s">
        <v>36</v>
      </c>
      <c r="B8" s="4">
        <v>46063.490972222222</v>
      </c>
      <c r="C8" s="3" t="s">
        <v>84</v>
      </c>
      <c r="D8" s="3" t="s">
        <v>37</v>
      </c>
      <c r="E8" s="3">
        <v>500</v>
      </c>
      <c r="F8" s="3" t="s">
        <v>32</v>
      </c>
      <c r="G8" s="3">
        <v>0.33</v>
      </c>
      <c r="H8" s="3">
        <v>165</v>
      </c>
      <c r="I8" s="3" t="s">
        <v>33</v>
      </c>
      <c r="J8" s="3" t="s">
        <v>33</v>
      </c>
      <c r="K8" s="3" t="s">
        <v>34</v>
      </c>
      <c r="L8" s="3" t="s">
        <v>35</v>
      </c>
    </row>
    <row r="9" spans="1:13" x14ac:dyDescent="0.25">
      <c r="A9" s="3" t="s">
        <v>38</v>
      </c>
      <c r="B9" s="4">
        <v>46063.490277777775</v>
      </c>
      <c r="C9" s="3" t="s">
        <v>84</v>
      </c>
      <c r="D9" s="3" t="s">
        <v>39</v>
      </c>
      <c r="E9" s="3">
        <v>700</v>
      </c>
      <c r="F9" s="3" t="s">
        <v>24</v>
      </c>
      <c r="G9" s="3">
        <v>40</v>
      </c>
      <c r="H9" s="3">
        <v>28000</v>
      </c>
      <c r="I9" s="3" t="s">
        <v>18</v>
      </c>
      <c r="J9" s="3" t="s">
        <v>26</v>
      </c>
      <c r="K9" s="3" t="s">
        <v>34</v>
      </c>
      <c r="L9" s="3" t="s">
        <v>40</v>
      </c>
    </row>
    <row r="10" spans="1:13" x14ac:dyDescent="0.25">
      <c r="A10" s="3" t="s">
        <v>41</v>
      </c>
      <c r="B10" s="4">
        <v>46063.489583333336</v>
      </c>
      <c r="C10" s="3" t="s">
        <v>84</v>
      </c>
      <c r="D10" s="3" t="s">
        <v>42</v>
      </c>
      <c r="E10" s="3">
        <v>35</v>
      </c>
      <c r="F10" s="3" t="s">
        <v>24</v>
      </c>
      <c r="G10" s="3">
        <v>31.5</v>
      </c>
      <c r="H10" s="3">
        <v>1102.5</v>
      </c>
      <c r="I10" s="3" t="s">
        <v>18</v>
      </c>
      <c r="J10" s="3" t="s">
        <v>18</v>
      </c>
      <c r="K10" s="3" t="s">
        <v>20</v>
      </c>
    </row>
    <row r="11" spans="1:13" x14ac:dyDescent="0.25">
      <c r="A11" s="3" t="s">
        <v>43</v>
      </c>
      <c r="B11" s="4">
        <v>46063.489583333336</v>
      </c>
      <c r="C11" s="3" t="s">
        <v>84</v>
      </c>
      <c r="D11" s="3" t="s">
        <v>44</v>
      </c>
      <c r="E11" s="3">
        <v>500</v>
      </c>
      <c r="F11" s="3" t="s">
        <v>24</v>
      </c>
      <c r="G11" s="3">
        <v>31.5</v>
      </c>
      <c r="H11" s="3">
        <v>15750</v>
      </c>
      <c r="I11" s="3" t="s">
        <v>18</v>
      </c>
      <c r="J11" s="3" t="s">
        <v>18</v>
      </c>
      <c r="K11" s="3" t="s">
        <v>20</v>
      </c>
    </row>
  </sheetData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95053-17D8-48D8-8000-CC08886AA976}">
  <sheetPr codeName="工作表4"/>
  <dimension ref="A3:G7"/>
  <sheetViews>
    <sheetView workbookViewId="0">
      <selection activeCell="D5" sqref="D5"/>
    </sheetView>
  </sheetViews>
  <sheetFormatPr defaultRowHeight="22.5" x14ac:dyDescent="0.25"/>
  <cols>
    <col min="1" max="1" width="16.625" style="3" customWidth="1"/>
    <col min="2" max="2" width="17.625" style="3" bestFit="1" customWidth="1"/>
    <col min="3" max="3" width="16" style="3" bestFit="1" customWidth="1"/>
    <col min="4" max="4" width="25.75" style="3" bestFit="1" customWidth="1"/>
    <col min="5" max="5" width="14.625" style="3" bestFit="1" customWidth="1"/>
    <col min="6" max="6" width="9.5" style="3" bestFit="1" customWidth="1"/>
    <col min="7" max="7" width="40" style="3" bestFit="1" customWidth="1"/>
    <col min="8" max="16384" width="9" style="3"/>
  </cols>
  <sheetData>
    <row r="3" spans="1:7" x14ac:dyDescent="0.25">
      <c r="A3" s="3" t="s">
        <v>11</v>
      </c>
      <c r="B3" s="3" t="s">
        <v>45</v>
      </c>
      <c r="C3" s="3" t="s">
        <v>5</v>
      </c>
      <c r="D3" s="3" t="s">
        <v>46</v>
      </c>
      <c r="E3" s="3" t="s">
        <v>47</v>
      </c>
      <c r="F3" s="3" t="s">
        <v>48</v>
      </c>
      <c r="G3" s="3" t="s">
        <v>49</v>
      </c>
    </row>
    <row r="4" spans="1:7" x14ac:dyDescent="0.25">
      <c r="A4" s="3" t="s">
        <v>40</v>
      </c>
      <c r="B4" s="3" t="s">
        <v>18</v>
      </c>
      <c r="C4" s="3" t="s">
        <v>24</v>
      </c>
      <c r="D4" s="3">
        <v>50000</v>
      </c>
      <c r="E4" s="3">
        <v>49300</v>
      </c>
      <c r="F4" s="3">
        <v>40</v>
      </c>
      <c r="G4" s="3" t="s">
        <v>50</v>
      </c>
    </row>
    <row r="5" spans="1:7" x14ac:dyDescent="0.25">
      <c r="A5" s="3" t="s">
        <v>35</v>
      </c>
      <c r="B5" s="3" t="s">
        <v>33</v>
      </c>
      <c r="C5" s="3" t="s">
        <v>32</v>
      </c>
      <c r="D5" s="3">
        <v>50000</v>
      </c>
      <c r="E5" s="3">
        <v>49100</v>
      </c>
      <c r="F5" s="3">
        <v>0.33</v>
      </c>
      <c r="G5" s="3" t="s">
        <v>51</v>
      </c>
    </row>
    <row r="6" spans="1:7" x14ac:dyDescent="0.25">
      <c r="A6" s="3" t="s">
        <v>69</v>
      </c>
      <c r="B6" s="3" t="s">
        <v>18</v>
      </c>
      <c r="C6" s="3" t="s">
        <v>32</v>
      </c>
      <c r="D6" s="3">
        <v>56000</v>
      </c>
      <c r="E6" s="3">
        <v>56000</v>
      </c>
      <c r="F6" s="3">
        <v>0.35</v>
      </c>
      <c r="G6" s="3" t="s">
        <v>74</v>
      </c>
    </row>
    <row r="7" spans="1:7" x14ac:dyDescent="0.25">
      <c r="A7" s="3" t="s">
        <v>70</v>
      </c>
      <c r="B7" s="3" t="s">
        <v>18</v>
      </c>
      <c r="C7" s="3" t="s">
        <v>17</v>
      </c>
      <c r="D7" s="3">
        <v>70000</v>
      </c>
      <c r="E7" s="3">
        <v>68000</v>
      </c>
      <c r="F7" s="3">
        <v>33</v>
      </c>
      <c r="G7" s="3" t="s">
        <v>75</v>
      </c>
    </row>
  </sheetData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29F3A-A9AC-4561-AAA7-E871A7A75664}">
  <sheetPr codeName="工作表9"/>
  <dimension ref="B12:H15"/>
  <sheetViews>
    <sheetView showGridLines="0" workbookViewId="0"/>
  </sheetViews>
  <sheetFormatPr defaultRowHeight="23.25" x14ac:dyDescent="0.25"/>
  <cols>
    <col min="1" max="1" width="16.625" style="3" customWidth="1"/>
    <col min="2" max="2" width="15.25" style="7" bestFit="1" customWidth="1"/>
    <col min="3" max="3" width="20.625" style="3" bestFit="1" customWidth="1"/>
    <col min="4" max="4" width="19.625" style="3" bestFit="1" customWidth="1"/>
    <col min="5" max="5" width="19.75" style="3" bestFit="1" customWidth="1"/>
    <col min="6" max="6" width="25.75" style="3" bestFit="1" customWidth="1"/>
    <col min="7" max="7" width="19.375" style="3" bestFit="1" customWidth="1"/>
    <col min="8" max="8" width="11.5" style="7" bestFit="1" customWidth="1"/>
    <col min="9" max="16384" width="9" style="3"/>
  </cols>
  <sheetData>
    <row r="12" spans="2:8" x14ac:dyDescent="0.25">
      <c r="B12" s="7" t="s">
        <v>184</v>
      </c>
      <c r="C12" s="3" t="s">
        <v>180</v>
      </c>
      <c r="D12" s="3" t="s">
        <v>181</v>
      </c>
      <c r="E12" s="3" t="s">
        <v>167</v>
      </c>
      <c r="F12" s="3" t="s">
        <v>168</v>
      </c>
      <c r="G12" s="3" t="s">
        <v>182</v>
      </c>
      <c r="H12" s="7" t="s">
        <v>185</v>
      </c>
    </row>
    <row r="13" spans="2:8" x14ac:dyDescent="0.25">
      <c r="B13" s="7" t="s">
        <v>62</v>
      </c>
      <c r="C13" s="3">
        <v>30505.599999999999</v>
      </c>
      <c r="D13" s="3">
        <v>118359.95</v>
      </c>
      <c r="E13" s="3">
        <v>0</v>
      </c>
      <c r="F13" s="3">
        <v>5401</v>
      </c>
      <c r="G13" s="3">
        <v>-82453.350000000006</v>
      </c>
      <c r="H13" s="26" t="s">
        <v>186</v>
      </c>
    </row>
    <row r="14" spans="2:8" x14ac:dyDescent="0.25">
      <c r="B14" s="7" t="s">
        <v>81</v>
      </c>
      <c r="C14" s="3">
        <v>173344.5</v>
      </c>
      <c r="D14" s="3">
        <v>101507.45</v>
      </c>
      <c r="E14" s="3">
        <v>0</v>
      </c>
      <c r="F14" s="3">
        <v>5401</v>
      </c>
      <c r="G14" s="3">
        <v>77238.05</v>
      </c>
      <c r="H14" s="29" t="s">
        <v>187</v>
      </c>
    </row>
    <row r="15" spans="2:8" x14ac:dyDescent="0.25">
      <c r="B15" s="7" t="s">
        <v>183</v>
      </c>
      <c r="C15" s="3">
        <v>0</v>
      </c>
      <c r="D15" s="3">
        <v>835.19999999999993</v>
      </c>
      <c r="E15" s="3">
        <v>0</v>
      </c>
      <c r="F15" s="3">
        <v>5401</v>
      </c>
      <c r="G15" s="3">
        <v>4565.8</v>
      </c>
      <c r="H15" s="29" t="s">
        <v>187</v>
      </c>
    </row>
  </sheetData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7208B-9CAB-48EC-A489-1671F216AF49}">
  <sheetPr codeName="工作表15"/>
  <dimension ref="A3:Q14"/>
  <sheetViews>
    <sheetView workbookViewId="0"/>
  </sheetViews>
  <sheetFormatPr defaultRowHeight="23.25" x14ac:dyDescent="0.25"/>
  <cols>
    <col min="1" max="1" width="16.625" style="3" customWidth="1"/>
    <col min="2" max="2" width="12.75" style="3" bestFit="1" customWidth="1"/>
    <col min="3" max="3" width="11.5" style="7" bestFit="1" customWidth="1"/>
    <col min="4" max="4" width="12.75" style="3" bestFit="1" customWidth="1"/>
    <col min="5" max="5" width="14.5" style="7" bestFit="1" customWidth="1"/>
    <col min="6" max="7" width="9.5" style="3" bestFit="1" customWidth="1"/>
    <col min="8" max="8" width="12.25" style="3" bestFit="1" customWidth="1"/>
    <col min="9" max="9" width="24.625" style="3" bestFit="1" customWidth="1"/>
    <col min="10" max="10" width="16.625" style="3" bestFit="1" customWidth="1"/>
    <col min="11" max="11" width="39.75" style="7" bestFit="1" customWidth="1"/>
    <col min="12" max="12" width="18.5" style="3" bestFit="1" customWidth="1"/>
    <col min="13" max="13" width="9" style="3"/>
    <col min="14" max="14" width="12.75" style="16" bestFit="1" customWidth="1"/>
    <col min="15" max="15" width="18" style="7" bestFit="1" customWidth="1"/>
    <col min="16" max="16" width="19.25" style="10" bestFit="1" customWidth="1"/>
    <col min="17" max="17" width="18.375" style="20" bestFit="1" customWidth="1"/>
    <col min="18" max="16384" width="9" style="3"/>
  </cols>
  <sheetData>
    <row r="3" spans="1:17" ht="39.950000000000003" customHeight="1" x14ac:dyDescent="0.25">
      <c r="A3" s="3" t="s">
        <v>52</v>
      </c>
      <c r="B3" s="3" t="s">
        <v>60</v>
      </c>
      <c r="C3" s="7" t="s">
        <v>76</v>
      </c>
      <c r="D3" s="3" t="s">
        <v>53</v>
      </c>
      <c r="E3" s="7" t="s">
        <v>77</v>
      </c>
      <c r="F3" s="3" t="s">
        <v>54</v>
      </c>
      <c r="G3" s="3" t="s">
        <v>55</v>
      </c>
      <c r="H3" s="3" t="s">
        <v>68</v>
      </c>
      <c r="I3" s="3" t="s">
        <v>56</v>
      </c>
      <c r="J3" s="3" t="s">
        <v>57</v>
      </c>
      <c r="K3" s="7" t="s">
        <v>78</v>
      </c>
      <c r="L3" s="3" t="s">
        <v>58</v>
      </c>
      <c r="N3" s="15" t="s">
        <v>149</v>
      </c>
      <c r="O3" s="17" t="s">
        <v>151</v>
      </c>
      <c r="P3" s="18" t="s">
        <v>79</v>
      </c>
      <c r="Q3" s="19" t="s">
        <v>80</v>
      </c>
    </row>
    <row r="4" spans="1:17" ht="39.950000000000003" customHeight="1" x14ac:dyDescent="0.25">
      <c r="A4" s="5">
        <v>46063</v>
      </c>
      <c r="B4" s="3" t="s">
        <v>64</v>
      </c>
      <c r="C4" s="7" t="s">
        <v>88</v>
      </c>
      <c r="D4" s="3" t="s">
        <v>31</v>
      </c>
      <c r="E4" s="7" t="s">
        <v>63</v>
      </c>
      <c r="F4" s="3" t="s">
        <v>34</v>
      </c>
      <c r="G4" s="3" t="s">
        <v>32</v>
      </c>
      <c r="H4" s="3">
        <v>400</v>
      </c>
      <c r="I4" s="3">
        <v>0.33</v>
      </c>
      <c r="J4" s="3">
        <v>132</v>
      </c>
      <c r="K4" s="7" t="s">
        <v>63</v>
      </c>
      <c r="L4" s="3">
        <v>132</v>
      </c>
      <c r="N4" s="21" t="s">
        <v>154</v>
      </c>
      <c r="O4" s="17" t="s">
        <v>152</v>
      </c>
      <c r="P4" s="18">
        <v>188202.1</v>
      </c>
      <c r="Q4" s="19">
        <v>0.92189455544555865</v>
      </c>
    </row>
    <row r="5" spans="1:17" ht="39.950000000000003" customHeight="1" x14ac:dyDescent="0.25">
      <c r="A5" s="5">
        <v>46063</v>
      </c>
      <c r="B5" s="3" t="s">
        <v>64</v>
      </c>
      <c r="C5" s="7" t="s">
        <v>87</v>
      </c>
      <c r="D5" s="3" t="s">
        <v>37</v>
      </c>
      <c r="E5" s="7" t="s">
        <v>63</v>
      </c>
      <c r="F5" s="3" t="s">
        <v>34</v>
      </c>
      <c r="G5" s="3" t="s">
        <v>32</v>
      </c>
      <c r="H5" s="3">
        <v>500</v>
      </c>
      <c r="I5" s="3">
        <v>0.33</v>
      </c>
      <c r="J5" s="3">
        <v>165</v>
      </c>
      <c r="K5" s="7" t="s">
        <v>63</v>
      </c>
      <c r="L5" s="3">
        <v>165</v>
      </c>
      <c r="N5" s="22" t="s">
        <v>155</v>
      </c>
      <c r="O5" s="17" t="s">
        <v>158</v>
      </c>
      <c r="P5" s="18">
        <v>15813</v>
      </c>
      <c r="Q5" s="19">
        <v>7.7458851974874982E-2</v>
      </c>
    </row>
    <row r="6" spans="1:17" ht="39.950000000000003" customHeight="1" x14ac:dyDescent="0.25">
      <c r="A6" s="5">
        <v>46063</v>
      </c>
      <c r="B6" s="3" t="s">
        <v>61</v>
      </c>
      <c r="C6" s="7" t="s">
        <v>87</v>
      </c>
      <c r="D6" s="3" t="s">
        <v>39</v>
      </c>
      <c r="E6" s="7" t="s">
        <v>62</v>
      </c>
      <c r="F6" s="3" t="s">
        <v>34</v>
      </c>
      <c r="G6" s="3" t="s">
        <v>24</v>
      </c>
      <c r="H6" s="3">
        <v>700</v>
      </c>
      <c r="I6" s="3">
        <v>40</v>
      </c>
      <c r="J6" s="3">
        <v>28000</v>
      </c>
      <c r="K6" s="7" t="s">
        <v>83</v>
      </c>
      <c r="L6" s="3">
        <v>14000</v>
      </c>
      <c r="N6" s="23" t="s">
        <v>156</v>
      </c>
      <c r="O6" s="17" t="s">
        <v>153</v>
      </c>
      <c r="P6" s="18">
        <v>132</v>
      </c>
      <c r="Q6" s="19">
        <v>6.4659257956640093E-4</v>
      </c>
    </row>
    <row r="7" spans="1:17" ht="39.950000000000003" customHeight="1" x14ac:dyDescent="0.25">
      <c r="A7" s="5">
        <v>46066</v>
      </c>
      <c r="B7" s="3" t="s">
        <v>61</v>
      </c>
      <c r="C7" s="7" t="s">
        <v>87</v>
      </c>
      <c r="D7" s="3" t="s">
        <v>16</v>
      </c>
      <c r="E7" s="7" t="s">
        <v>62</v>
      </c>
      <c r="F7" s="3" t="s">
        <v>20</v>
      </c>
      <c r="G7" s="3" t="s">
        <v>17</v>
      </c>
      <c r="H7" s="3">
        <v>72</v>
      </c>
      <c r="I7" s="3">
        <v>34.799999999999997</v>
      </c>
      <c r="J7" s="3">
        <v>2505.6</v>
      </c>
      <c r="K7" s="7" t="s">
        <v>82</v>
      </c>
      <c r="L7" s="3">
        <v>835.19999999999993</v>
      </c>
      <c r="N7" s="15" t="s">
        <v>150</v>
      </c>
      <c r="O7" s="17"/>
      <c r="P7" s="18">
        <f>SUBTOTAL(109,Tbl_Summary_Group_Details_N3[總金額])</f>
        <v>204147.1</v>
      </c>
      <c r="Q7" s="19">
        <f>SUBTOTAL(109,Tbl_Summary_Group_Details_N3[佔比 (%)])</f>
        <v>1</v>
      </c>
    </row>
    <row r="8" spans="1:17" x14ac:dyDescent="0.25">
      <c r="A8" s="5">
        <v>46070</v>
      </c>
      <c r="B8" s="3" t="s">
        <v>61</v>
      </c>
      <c r="C8" s="7" t="s">
        <v>157</v>
      </c>
      <c r="D8" s="3" t="s">
        <v>23</v>
      </c>
      <c r="E8" s="7" t="s">
        <v>81</v>
      </c>
      <c r="F8" s="3" t="s">
        <v>20</v>
      </c>
      <c r="G8" s="3" t="s">
        <v>24</v>
      </c>
      <c r="H8" s="3">
        <v>502</v>
      </c>
      <c r="I8" s="3">
        <v>31.5</v>
      </c>
      <c r="J8" s="3">
        <v>15813</v>
      </c>
      <c r="K8" s="7" t="s">
        <v>83</v>
      </c>
      <c r="L8" s="3">
        <v>7906.5</v>
      </c>
    </row>
    <row r="9" spans="1:17" x14ac:dyDescent="0.25">
      <c r="A9" s="5">
        <v>46070</v>
      </c>
      <c r="B9" s="3" t="s">
        <v>61</v>
      </c>
      <c r="C9" s="7" t="s">
        <v>87</v>
      </c>
      <c r="D9" s="3" t="s">
        <v>28</v>
      </c>
      <c r="E9" s="7" t="s">
        <v>81</v>
      </c>
      <c r="F9" s="3" t="s">
        <v>20</v>
      </c>
      <c r="G9" s="3" t="s">
        <v>24</v>
      </c>
      <c r="H9" s="3">
        <v>5001</v>
      </c>
      <c r="I9" s="3">
        <v>31.5</v>
      </c>
      <c r="J9" s="3">
        <v>157531.5</v>
      </c>
      <c r="K9" s="7" t="s">
        <v>83</v>
      </c>
      <c r="L9" s="3">
        <v>78765.75</v>
      </c>
    </row>
    <row r="10" spans="1:17" x14ac:dyDescent="0.25">
      <c r="A10" s="3" t="s">
        <v>59</v>
      </c>
      <c r="H10" s="3">
        <f>SUBTOTAL(109,表格35[原幣額])</f>
        <v>7175</v>
      </c>
      <c r="J10" s="3">
        <f>SUBTOTAL(109,表格35[台幣總額])</f>
        <v>204147.1</v>
      </c>
      <c r="L10" s="3">
        <f>SUBTOTAL(109,表格35[每人應攤])</f>
        <v>101804.45</v>
      </c>
    </row>
    <row r="12" spans="1:17" ht="31.5" x14ac:dyDescent="0.25">
      <c r="I12" s="6" t="s">
        <v>65</v>
      </c>
      <c r="J12" s="6">
        <v>900</v>
      </c>
    </row>
    <row r="13" spans="1:17" ht="31.5" x14ac:dyDescent="0.25">
      <c r="I13" s="6" t="s">
        <v>66</v>
      </c>
      <c r="J13" s="6">
        <v>6203</v>
      </c>
    </row>
    <row r="14" spans="1:17" ht="31.5" x14ac:dyDescent="0.25">
      <c r="I14" s="6" t="s">
        <v>67</v>
      </c>
      <c r="J14" s="6">
        <v>2505.6</v>
      </c>
    </row>
  </sheetData>
  <sortState xmlns:xlrd2="http://schemas.microsoft.com/office/spreadsheetml/2017/richdata2" ref="N4:Q6">
    <sortCondition descending="1" ref="P3"/>
  </sortState>
  <phoneticPr fontId="1" type="noConversion"/>
  <pageMargins left="0.7" right="0.7" top="0.75" bottom="0.75" header="0.3" footer="0.3"/>
  <drawing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511DC-0ADD-4B79-849A-E5B42E4F0061}">
  <sheetPr codeName="工作表16"/>
  <dimension ref="A3:P22"/>
  <sheetViews>
    <sheetView showGridLines="0" tabSelected="1" topLeftCell="A11" workbookViewId="0"/>
  </sheetViews>
  <sheetFormatPr defaultRowHeight="23.25" x14ac:dyDescent="0.25"/>
  <cols>
    <col min="1" max="1" width="16.625" style="3" customWidth="1"/>
    <col min="2" max="2" width="23.375" style="3" bestFit="1" customWidth="1"/>
    <col min="3" max="3" width="17.875" style="7" bestFit="1" customWidth="1"/>
    <col min="4" max="4" width="25.75" style="3" bestFit="1" customWidth="1"/>
    <col min="5" max="5" width="25.125" style="3" bestFit="1" customWidth="1"/>
    <col min="6" max="6" width="10.75" style="3" bestFit="1" customWidth="1"/>
    <col min="7" max="7" width="12.25" style="3" bestFit="1" customWidth="1"/>
    <col min="8" max="8" width="9.5" style="3" bestFit="1" customWidth="1"/>
    <col min="9" max="9" width="16.625" style="3" bestFit="1" customWidth="1"/>
    <col min="10" max="10" width="18.5" style="3" bestFit="1" customWidth="1"/>
    <col min="11" max="11" width="15.25" style="3" bestFit="1" customWidth="1"/>
    <col min="12" max="12" width="9" style="3"/>
    <col min="13" max="13" width="12.75" style="16" bestFit="1" customWidth="1"/>
    <col min="14" max="14" width="18" style="7" bestFit="1" customWidth="1"/>
    <col min="15" max="15" width="19.25" style="10" bestFit="1" customWidth="1"/>
    <col min="16" max="16" width="18.375" style="20" bestFit="1" customWidth="1"/>
    <col min="17" max="16384" width="9" style="3"/>
  </cols>
  <sheetData>
    <row r="3" spans="1:16" ht="31.5" x14ac:dyDescent="0.25">
      <c r="A3" s="25" t="s">
        <v>159</v>
      </c>
    </row>
    <row r="4" spans="1:16" x14ac:dyDescent="0.25">
      <c r="A4" s="3" t="s">
        <v>160</v>
      </c>
      <c r="B4" s="3" t="s">
        <v>161</v>
      </c>
      <c r="C4" s="7" t="s">
        <v>176</v>
      </c>
      <c r="D4" s="3" t="s">
        <v>162</v>
      </c>
      <c r="E4" s="3" t="s">
        <v>163</v>
      </c>
      <c r="F4" s="3" t="s">
        <v>56</v>
      </c>
    </row>
    <row r="5" spans="1:16" x14ac:dyDescent="0.25">
      <c r="A5" s="3" t="s">
        <v>40</v>
      </c>
      <c r="B5" s="3" t="s">
        <v>24</v>
      </c>
      <c r="C5" s="7">
        <v>50000</v>
      </c>
      <c r="D5" s="3">
        <v>700</v>
      </c>
      <c r="E5" s="3">
        <v>49300</v>
      </c>
      <c r="F5" s="3">
        <v>40</v>
      </c>
    </row>
    <row r="6" spans="1:16" x14ac:dyDescent="0.25">
      <c r="A6" s="3" t="s">
        <v>69</v>
      </c>
      <c r="B6" s="3" t="s">
        <v>32</v>
      </c>
      <c r="C6" s="7">
        <v>56000</v>
      </c>
      <c r="D6" s="3">
        <v>0</v>
      </c>
      <c r="E6" s="3">
        <v>56000</v>
      </c>
      <c r="F6" s="3">
        <v>0.35</v>
      </c>
    </row>
    <row r="7" spans="1:16" x14ac:dyDescent="0.25">
      <c r="A7" s="3" t="s">
        <v>70</v>
      </c>
      <c r="B7" s="3" t="s">
        <v>17</v>
      </c>
      <c r="C7" s="7">
        <v>70000</v>
      </c>
      <c r="D7" s="3">
        <v>0</v>
      </c>
      <c r="E7" s="3">
        <v>70000</v>
      </c>
      <c r="F7" s="3">
        <v>33</v>
      </c>
    </row>
    <row r="8" spans="1:16" x14ac:dyDescent="0.25">
      <c r="A8" s="3" t="s">
        <v>59</v>
      </c>
      <c r="C8" s="7">
        <f>SUBTOTAL(109,表格37[初始額度])</f>
        <v>176000</v>
      </c>
      <c r="D8" s="3">
        <f>SUBTOTAL(109,表格37[本表記錄流出])</f>
        <v>700</v>
      </c>
      <c r="E8" s="3">
        <f>SUBTOTAL(109,表格37[結算估計剩餘])</f>
        <v>175300</v>
      </c>
      <c r="F8" s="3">
        <f>SUBTOTAL(109,表格37[匯率])</f>
        <v>73.349999999999994</v>
      </c>
    </row>
    <row r="10" spans="1:16" ht="31.5" x14ac:dyDescent="0.25">
      <c r="A10" s="25" t="s">
        <v>164</v>
      </c>
    </row>
    <row r="11" spans="1:16" x14ac:dyDescent="0.25">
      <c r="A11" s="3" t="s">
        <v>165</v>
      </c>
      <c r="B11" s="3" t="s">
        <v>166</v>
      </c>
      <c r="C11" s="7" t="s">
        <v>177</v>
      </c>
      <c r="D11" s="3" t="s">
        <v>168</v>
      </c>
      <c r="E11" s="3" t="s">
        <v>169</v>
      </c>
    </row>
    <row r="12" spans="1:16" x14ac:dyDescent="0.25">
      <c r="A12" s="3">
        <v>30505.599999999999</v>
      </c>
      <c r="B12" s="3">
        <v>118359.95</v>
      </c>
      <c r="C12" s="7">
        <v>0</v>
      </c>
      <c r="D12" s="3">
        <v>5401</v>
      </c>
      <c r="E12" s="26" t="s">
        <v>170</v>
      </c>
    </row>
    <row r="14" spans="1:16" ht="31.5" x14ac:dyDescent="0.25">
      <c r="A14" s="25" t="s">
        <v>171</v>
      </c>
    </row>
    <row r="15" spans="1:16" ht="39.950000000000003" customHeight="1" x14ac:dyDescent="0.25">
      <c r="A15" s="3" t="s">
        <v>52</v>
      </c>
      <c r="B15" s="3" t="s">
        <v>60</v>
      </c>
      <c r="C15" s="7" t="s">
        <v>76</v>
      </c>
      <c r="D15" s="3" t="s">
        <v>53</v>
      </c>
      <c r="E15" s="3" t="s">
        <v>54</v>
      </c>
      <c r="F15" s="3" t="s">
        <v>55</v>
      </c>
      <c r="G15" s="3" t="s">
        <v>68</v>
      </c>
      <c r="H15" s="3" t="s">
        <v>56</v>
      </c>
      <c r="I15" s="3" t="s">
        <v>57</v>
      </c>
      <c r="J15" s="3" t="s">
        <v>172</v>
      </c>
      <c r="K15" s="3" t="s">
        <v>173</v>
      </c>
      <c r="M15" s="15" t="s">
        <v>149</v>
      </c>
      <c r="N15" s="17" t="s">
        <v>151</v>
      </c>
      <c r="O15" s="18" t="s">
        <v>79</v>
      </c>
      <c r="P15" s="19" t="s">
        <v>80</v>
      </c>
    </row>
    <row r="16" spans="1:16" ht="39.950000000000003" customHeight="1" x14ac:dyDescent="0.25">
      <c r="A16" s="5">
        <v>46063</v>
      </c>
      <c r="B16" s="27" t="s">
        <v>61</v>
      </c>
      <c r="C16" s="7" t="s">
        <v>87</v>
      </c>
      <c r="D16" s="3" t="s">
        <v>39</v>
      </c>
      <c r="E16" s="3" t="s">
        <v>34</v>
      </c>
      <c r="F16" s="3" t="s">
        <v>24</v>
      </c>
      <c r="G16" s="3">
        <v>700</v>
      </c>
      <c r="H16" s="3">
        <v>40</v>
      </c>
      <c r="I16" s="3">
        <v>28000</v>
      </c>
      <c r="J16" s="3">
        <v>14000</v>
      </c>
      <c r="K16" s="3">
        <v>14000</v>
      </c>
      <c r="M16" s="21" t="s">
        <v>154</v>
      </c>
      <c r="N16" s="17" t="s">
        <v>152</v>
      </c>
      <c r="O16" s="18">
        <v>110453.45</v>
      </c>
      <c r="P16" s="19">
        <v>0.93319953244319553</v>
      </c>
    </row>
    <row r="17" spans="1:16" ht="39.950000000000003" customHeight="1" x14ac:dyDescent="0.25">
      <c r="A17" s="5">
        <v>46063</v>
      </c>
      <c r="B17" s="28" t="s">
        <v>175</v>
      </c>
      <c r="C17" s="7" t="s">
        <v>87</v>
      </c>
      <c r="D17" s="3" t="s">
        <v>42</v>
      </c>
      <c r="E17" s="3" t="s">
        <v>20</v>
      </c>
      <c r="F17" s="3" t="s">
        <v>24</v>
      </c>
      <c r="G17" s="3">
        <v>35</v>
      </c>
      <c r="H17" s="3">
        <v>31.5</v>
      </c>
      <c r="I17" s="3">
        <v>1102.5</v>
      </c>
      <c r="J17" s="3">
        <v>1102.5</v>
      </c>
      <c r="K17" s="3">
        <v>0</v>
      </c>
      <c r="M17" s="22" t="s">
        <v>155</v>
      </c>
      <c r="N17" s="17" t="s">
        <v>158</v>
      </c>
      <c r="O17" s="18">
        <v>7906.5</v>
      </c>
      <c r="P17" s="19">
        <v>6.680046755680448E-2</v>
      </c>
    </row>
    <row r="18" spans="1:16" ht="39.950000000000003" customHeight="1" x14ac:dyDescent="0.25">
      <c r="A18" s="5">
        <v>46063</v>
      </c>
      <c r="B18" s="28" t="s">
        <v>175</v>
      </c>
      <c r="C18" s="7" t="s">
        <v>87</v>
      </c>
      <c r="D18" s="3" t="s">
        <v>44</v>
      </c>
      <c r="E18" s="3" t="s">
        <v>20</v>
      </c>
      <c r="F18" s="3" t="s">
        <v>24</v>
      </c>
      <c r="G18" s="3">
        <v>500</v>
      </c>
      <c r="H18" s="3">
        <v>31.5</v>
      </c>
      <c r="I18" s="3">
        <v>15750</v>
      </c>
      <c r="J18" s="3">
        <v>15750</v>
      </c>
      <c r="K18" s="3">
        <v>0</v>
      </c>
      <c r="M18" s="15" t="s">
        <v>150</v>
      </c>
      <c r="N18" s="17"/>
      <c r="O18" s="18">
        <f>SUBTOTAL(109,Tbl_Summary_PS_Smile_M15[總金額])</f>
        <v>118359.95</v>
      </c>
      <c r="P18" s="19">
        <f>SUBTOTAL(109,Tbl_Summary_PS_Smile_M15[佔比 (%)])</f>
        <v>1</v>
      </c>
    </row>
    <row r="19" spans="1:16" x14ac:dyDescent="0.25">
      <c r="A19" s="5">
        <v>46066</v>
      </c>
      <c r="B19" s="27" t="s">
        <v>61</v>
      </c>
      <c r="C19" s="7" t="s">
        <v>87</v>
      </c>
      <c r="D19" s="3" t="s">
        <v>16</v>
      </c>
      <c r="E19" s="3" t="s">
        <v>20</v>
      </c>
      <c r="F19" s="3" t="s">
        <v>17</v>
      </c>
      <c r="G19" s="3">
        <v>72</v>
      </c>
      <c r="H19" s="3">
        <v>34.799999999999997</v>
      </c>
      <c r="I19" s="3">
        <v>2505.6</v>
      </c>
      <c r="J19" s="3">
        <v>835.19999999999993</v>
      </c>
      <c r="K19" s="3">
        <v>1670.4</v>
      </c>
    </row>
    <row r="20" spans="1:16" x14ac:dyDescent="0.25">
      <c r="A20" s="5">
        <v>46070</v>
      </c>
      <c r="B20" s="3" t="s">
        <v>174</v>
      </c>
      <c r="C20" s="7" t="s">
        <v>157</v>
      </c>
      <c r="D20" s="3" t="s">
        <v>23</v>
      </c>
      <c r="E20" s="3" t="s">
        <v>20</v>
      </c>
      <c r="F20" s="3" t="s">
        <v>24</v>
      </c>
      <c r="G20" s="3">
        <v>502</v>
      </c>
      <c r="H20" s="3">
        <v>31.5</v>
      </c>
      <c r="I20" s="3">
        <v>15813</v>
      </c>
      <c r="J20" s="3">
        <v>7906.5</v>
      </c>
      <c r="K20" s="3">
        <v>0</v>
      </c>
    </row>
    <row r="21" spans="1:16" x14ac:dyDescent="0.25">
      <c r="A21" s="5">
        <v>46070</v>
      </c>
      <c r="B21" s="3" t="s">
        <v>174</v>
      </c>
      <c r="C21" s="7" t="s">
        <v>87</v>
      </c>
      <c r="D21" s="3" t="s">
        <v>28</v>
      </c>
      <c r="E21" s="3" t="s">
        <v>20</v>
      </c>
      <c r="F21" s="3" t="s">
        <v>24</v>
      </c>
      <c r="G21" s="3">
        <v>5001</v>
      </c>
      <c r="H21" s="3">
        <v>31.5</v>
      </c>
      <c r="I21" s="3">
        <v>157531.5</v>
      </c>
      <c r="J21" s="3">
        <v>78765.75</v>
      </c>
      <c r="K21" s="3">
        <v>0</v>
      </c>
    </row>
    <row r="22" spans="1:16" x14ac:dyDescent="0.25">
      <c r="A22" s="3" t="s">
        <v>59</v>
      </c>
      <c r="B22"/>
      <c r="I22" s="3">
        <f>SUBTOTAL(109,表格39[台幣總額])</f>
        <v>220702.6</v>
      </c>
      <c r="J22" s="3">
        <f>SUBTOTAL(109,表格39[我的負擔])</f>
        <v>118359.95</v>
      </c>
      <c r="K22" s="3">
        <f>SUBTOTAL(109,表格39[代墊債權])</f>
        <v>15670.4</v>
      </c>
    </row>
  </sheetData>
  <sortState xmlns:xlrd2="http://schemas.microsoft.com/office/spreadsheetml/2017/richdata2" ref="M16:P17">
    <sortCondition descending="1" ref="O15"/>
  </sortState>
  <phoneticPr fontId="1" type="noConversion"/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7CD35-32B8-4ACC-8DD7-582A01B0A69B}">
  <sheetPr codeName="工作表17"/>
  <dimension ref="A3:P17"/>
  <sheetViews>
    <sheetView workbookViewId="0"/>
  </sheetViews>
  <sheetFormatPr defaultRowHeight="23.25" x14ac:dyDescent="0.25"/>
  <cols>
    <col min="1" max="1" width="16.625" style="3" customWidth="1"/>
    <col min="2" max="2" width="23.375" style="3" bestFit="1" customWidth="1"/>
    <col min="3" max="3" width="17.875" style="7" bestFit="1" customWidth="1"/>
    <col min="4" max="4" width="25.75" style="3" bestFit="1" customWidth="1"/>
    <col min="5" max="5" width="25.125" style="3" bestFit="1" customWidth="1"/>
    <col min="6" max="6" width="9.5" style="3" bestFit="1" customWidth="1"/>
    <col min="7" max="7" width="12.25" style="3" bestFit="1" customWidth="1"/>
    <col min="8" max="8" width="9.5" style="3" bestFit="1" customWidth="1"/>
    <col min="9" max="9" width="16.625" style="3" bestFit="1" customWidth="1"/>
    <col min="10" max="10" width="18.5" style="3" bestFit="1" customWidth="1"/>
    <col min="11" max="11" width="16.625" style="3" bestFit="1" customWidth="1"/>
    <col min="12" max="12" width="9" style="3"/>
    <col min="13" max="13" width="12.75" style="16" bestFit="1" customWidth="1"/>
    <col min="14" max="14" width="18" style="7" bestFit="1" customWidth="1"/>
    <col min="15" max="15" width="19.25" style="10" bestFit="1" customWidth="1"/>
    <col min="16" max="16" width="18.375" style="20" bestFit="1" customWidth="1"/>
    <col min="17" max="16384" width="9" style="3"/>
  </cols>
  <sheetData>
    <row r="3" spans="1:16" ht="31.5" x14ac:dyDescent="0.25">
      <c r="A3" s="25" t="s">
        <v>159</v>
      </c>
    </row>
    <row r="4" spans="1:16" x14ac:dyDescent="0.25">
      <c r="A4" s="3" t="s">
        <v>160</v>
      </c>
      <c r="B4" s="3" t="s">
        <v>161</v>
      </c>
      <c r="C4" s="7" t="s">
        <v>176</v>
      </c>
      <c r="D4" s="3" t="s">
        <v>162</v>
      </c>
      <c r="E4" s="3" t="s">
        <v>163</v>
      </c>
      <c r="F4" s="3" t="s">
        <v>56</v>
      </c>
    </row>
    <row r="7" spans="1:16" ht="31.5" x14ac:dyDescent="0.25">
      <c r="A7" s="25" t="s">
        <v>164</v>
      </c>
    </row>
    <row r="8" spans="1:16" x14ac:dyDescent="0.25">
      <c r="A8" s="3" t="s">
        <v>165</v>
      </c>
      <c r="B8" s="3" t="s">
        <v>166</v>
      </c>
      <c r="C8" s="7" t="s">
        <v>177</v>
      </c>
      <c r="D8" s="3" t="s">
        <v>168</v>
      </c>
      <c r="E8" s="3" t="s">
        <v>169</v>
      </c>
    </row>
    <row r="9" spans="1:16" x14ac:dyDescent="0.25">
      <c r="A9" s="3">
        <v>173344.5</v>
      </c>
      <c r="B9" s="3">
        <v>101507.45</v>
      </c>
      <c r="C9" s="7">
        <v>0</v>
      </c>
      <c r="D9" s="3">
        <v>5401</v>
      </c>
      <c r="E9" s="29" t="s">
        <v>178</v>
      </c>
    </row>
    <row r="11" spans="1:16" ht="31.5" x14ac:dyDescent="0.25">
      <c r="A11" s="25" t="s">
        <v>171</v>
      </c>
    </row>
    <row r="12" spans="1:16" ht="39.950000000000003" customHeight="1" x14ac:dyDescent="0.25">
      <c r="A12" s="3" t="s">
        <v>52</v>
      </c>
      <c r="B12" s="3" t="s">
        <v>60</v>
      </c>
      <c r="C12" s="7" t="s">
        <v>76</v>
      </c>
      <c r="D12" s="3" t="s">
        <v>53</v>
      </c>
      <c r="E12" s="3" t="s">
        <v>54</v>
      </c>
      <c r="F12" s="3" t="s">
        <v>55</v>
      </c>
      <c r="G12" s="3" t="s">
        <v>68</v>
      </c>
      <c r="H12" s="3" t="s">
        <v>56</v>
      </c>
      <c r="I12" s="3" t="s">
        <v>57</v>
      </c>
      <c r="J12" s="3" t="s">
        <v>172</v>
      </c>
      <c r="K12" s="3" t="s">
        <v>173</v>
      </c>
      <c r="M12" s="15" t="s">
        <v>149</v>
      </c>
      <c r="N12" s="17" t="s">
        <v>151</v>
      </c>
      <c r="O12" s="18" t="s">
        <v>79</v>
      </c>
      <c r="P12" s="19" t="s">
        <v>80</v>
      </c>
    </row>
    <row r="13" spans="1:16" ht="39.950000000000003" customHeight="1" x14ac:dyDescent="0.25">
      <c r="A13" s="5">
        <v>46063</v>
      </c>
      <c r="B13" s="3" t="s">
        <v>174</v>
      </c>
      <c r="C13" s="7" t="s">
        <v>87</v>
      </c>
      <c r="D13" s="3" t="s">
        <v>39</v>
      </c>
      <c r="E13" s="3" t="s">
        <v>34</v>
      </c>
      <c r="F13" s="3" t="s">
        <v>24</v>
      </c>
      <c r="G13" s="3">
        <v>700</v>
      </c>
      <c r="H13" s="3">
        <v>40</v>
      </c>
      <c r="I13" s="3">
        <v>28000</v>
      </c>
      <c r="J13" s="3">
        <v>14000</v>
      </c>
      <c r="K13" s="3">
        <v>0</v>
      </c>
      <c r="M13" s="21" t="s">
        <v>154</v>
      </c>
      <c r="N13" s="17" t="s">
        <v>152</v>
      </c>
      <c r="O13" s="18">
        <v>93600.95</v>
      </c>
      <c r="P13" s="19">
        <v>0.92210916538638299</v>
      </c>
    </row>
    <row r="14" spans="1:16" ht="39.950000000000003" customHeight="1" x14ac:dyDescent="0.25">
      <c r="A14" s="5">
        <v>46066</v>
      </c>
      <c r="B14" s="3" t="s">
        <v>174</v>
      </c>
      <c r="C14" s="7" t="s">
        <v>87</v>
      </c>
      <c r="D14" s="3" t="s">
        <v>16</v>
      </c>
      <c r="E14" s="3" t="s">
        <v>20</v>
      </c>
      <c r="F14" s="3" t="s">
        <v>17</v>
      </c>
      <c r="G14" s="3">
        <v>72</v>
      </c>
      <c r="H14" s="3">
        <v>34.799999999999997</v>
      </c>
      <c r="I14" s="3">
        <v>2505.6</v>
      </c>
      <c r="J14" s="3">
        <v>835.19999999999993</v>
      </c>
      <c r="K14" s="3">
        <v>0</v>
      </c>
      <c r="M14" s="22" t="s">
        <v>155</v>
      </c>
      <c r="N14" s="17" t="s">
        <v>158</v>
      </c>
      <c r="O14" s="18">
        <v>7906.5</v>
      </c>
      <c r="P14" s="19">
        <v>7.7890834613617038E-2</v>
      </c>
    </row>
    <row r="15" spans="1:16" ht="39.950000000000003" customHeight="1" x14ac:dyDescent="0.25">
      <c r="A15" s="5">
        <v>46070</v>
      </c>
      <c r="B15" s="27" t="s">
        <v>61</v>
      </c>
      <c r="C15" s="7" t="s">
        <v>157</v>
      </c>
      <c r="D15" s="3" t="s">
        <v>23</v>
      </c>
      <c r="E15" s="3" t="s">
        <v>20</v>
      </c>
      <c r="F15" s="3" t="s">
        <v>24</v>
      </c>
      <c r="G15" s="3">
        <v>502</v>
      </c>
      <c r="H15" s="3">
        <v>31.5</v>
      </c>
      <c r="I15" s="3">
        <v>15813</v>
      </c>
      <c r="J15" s="3">
        <v>7906.5</v>
      </c>
      <c r="K15" s="3">
        <v>7906.5</v>
      </c>
      <c r="M15" s="15" t="s">
        <v>150</v>
      </c>
      <c r="N15" s="17"/>
      <c r="O15" s="18">
        <f>SUBTOTAL(109,Tbl_Summary_PS_Jiani_M12[總金額])</f>
        <v>101507.45</v>
      </c>
      <c r="P15" s="19">
        <f>SUBTOTAL(109,Tbl_Summary_PS_Jiani_M12[佔比 (%)])</f>
        <v>1</v>
      </c>
    </row>
    <row r="16" spans="1:16" x14ac:dyDescent="0.25">
      <c r="A16" s="5">
        <v>46070</v>
      </c>
      <c r="B16" s="27" t="s">
        <v>61</v>
      </c>
      <c r="C16" s="7" t="s">
        <v>87</v>
      </c>
      <c r="D16" s="3" t="s">
        <v>28</v>
      </c>
      <c r="E16" s="3" t="s">
        <v>20</v>
      </c>
      <c r="F16" s="3" t="s">
        <v>24</v>
      </c>
      <c r="G16" s="3">
        <v>5001</v>
      </c>
      <c r="H16" s="3">
        <v>31.5</v>
      </c>
      <c r="I16" s="3">
        <v>157531.5</v>
      </c>
      <c r="J16" s="3">
        <v>78765.75</v>
      </c>
      <c r="K16" s="3">
        <v>78765.75</v>
      </c>
    </row>
    <row r="17" spans="1:11" x14ac:dyDescent="0.25">
      <c r="A17" s="3" t="s">
        <v>59</v>
      </c>
      <c r="B17"/>
      <c r="I17" s="3">
        <f>SUBTOTAL(109,表格42[台幣總額])</f>
        <v>203850.1</v>
      </c>
      <c r="J17" s="3">
        <f>SUBTOTAL(109,表格42[我的負擔])</f>
        <v>101507.45</v>
      </c>
      <c r="K17" s="3">
        <f>SUBTOTAL(109,表格42[代墊債權])</f>
        <v>86672.25</v>
      </c>
    </row>
  </sheetData>
  <sortState xmlns:xlrd2="http://schemas.microsoft.com/office/spreadsheetml/2017/richdata2" ref="M13:P14">
    <sortCondition descending="1" ref="O12"/>
  </sortState>
  <phoneticPr fontId="1" type="noConversion"/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55A5D-8144-4599-9753-277C90262B35}">
  <sheetPr codeName="工作表18"/>
  <dimension ref="A3:P14"/>
  <sheetViews>
    <sheetView workbookViewId="0"/>
  </sheetViews>
  <sheetFormatPr defaultRowHeight="23.25" x14ac:dyDescent="0.25"/>
  <cols>
    <col min="1" max="1" width="16.625" style="3" customWidth="1"/>
    <col min="2" max="2" width="23.375" style="3" bestFit="1" customWidth="1"/>
    <col min="3" max="3" width="17.875" style="7" bestFit="1" customWidth="1"/>
    <col min="4" max="4" width="25.75" style="3" bestFit="1" customWidth="1"/>
    <col min="5" max="5" width="23.5" style="3" bestFit="1" customWidth="1"/>
    <col min="6" max="6" width="9.5" style="3" bestFit="1" customWidth="1"/>
    <col min="7" max="7" width="12.25" style="3" bestFit="1" customWidth="1"/>
    <col min="8" max="8" width="9.5" style="3" bestFit="1" customWidth="1"/>
    <col min="9" max="11" width="15.25" style="3" bestFit="1" customWidth="1"/>
    <col min="12" max="12" width="9" style="3"/>
    <col min="13" max="13" width="12.75" style="16" bestFit="1" customWidth="1"/>
    <col min="14" max="14" width="18" style="7" bestFit="1" customWidth="1"/>
    <col min="15" max="15" width="15" style="10" bestFit="1" customWidth="1"/>
    <col min="16" max="16" width="18.375" style="20" bestFit="1" customWidth="1"/>
    <col min="17" max="16384" width="9" style="3"/>
  </cols>
  <sheetData>
    <row r="3" spans="1:16" ht="31.5" x14ac:dyDescent="0.25">
      <c r="A3" s="25" t="s">
        <v>159</v>
      </c>
    </row>
    <row r="4" spans="1:16" x14ac:dyDescent="0.25">
      <c r="A4" s="3" t="s">
        <v>160</v>
      </c>
      <c r="B4" s="3" t="s">
        <v>161</v>
      </c>
      <c r="C4" s="7" t="s">
        <v>176</v>
      </c>
      <c r="D4" s="3" t="s">
        <v>162</v>
      </c>
      <c r="E4" s="3" t="s">
        <v>163</v>
      </c>
      <c r="F4" s="3" t="s">
        <v>56</v>
      </c>
    </row>
    <row r="7" spans="1:16" ht="31.5" x14ac:dyDescent="0.25">
      <c r="A7" s="25" t="s">
        <v>164</v>
      </c>
    </row>
    <row r="8" spans="1:16" x14ac:dyDescent="0.25">
      <c r="A8" s="3" t="s">
        <v>165</v>
      </c>
      <c r="B8" s="3" t="s">
        <v>166</v>
      </c>
      <c r="C8" s="7" t="s">
        <v>177</v>
      </c>
      <c r="D8" s="3" t="s">
        <v>168</v>
      </c>
      <c r="E8" s="3" t="s">
        <v>169</v>
      </c>
    </row>
    <row r="9" spans="1:16" x14ac:dyDescent="0.25">
      <c r="A9" s="3">
        <v>0</v>
      </c>
      <c r="B9" s="3">
        <v>835.19999999999993</v>
      </c>
      <c r="C9" s="7">
        <v>0</v>
      </c>
      <c r="D9" s="3">
        <v>5401</v>
      </c>
      <c r="E9" s="29" t="s">
        <v>179</v>
      </c>
    </row>
    <row r="11" spans="1:16" ht="31.5" x14ac:dyDescent="0.25">
      <c r="A11" s="25" t="s">
        <v>171</v>
      </c>
    </row>
    <row r="12" spans="1:16" ht="39.950000000000003" customHeight="1" x14ac:dyDescent="0.25">
      <c r="A12" s="3" t="s">
        <v>52</v>
      </c>
      <c r="B12" s="3" t="s">
        <v>60</v>
      </c>
      <c r="C12" s="7" t="s">
        <v>76</v>
      </c>
      <c r="D12" s="3" t="s">
        <v>53</v>
      </c>
      <c r="E12" s="3" t="s">
        <v>54</v>
      </c>
      <c r="F12" s="3" t="s">
        <v>55</v>
      </c>
      <c r="G12" s="3" t="s">
        <v>68</v>
      </c>
      <c r="H12" s="3" t="s">
        <v>56</v>
      </c>
      <c r="I12" s="3" t="s">
        <v>57</v>
      </c>
      <c r="J12" s="3" t="s">
        <v>172</v>
      </c>
      <c r="K12" s="3" t="s">
        <v>173</v>
      </c>
      <c r="M12" s="15" t="s">
        <v>149</v>
      </c>
      <c r="N12" s="17" t="s">
        <v>151</v>
      </c>
      <c r="O12" s="18" t="s">
        <v>79</v>
      </c>
      <c r="P12" s="19" t="s">
        <v>80</v>
      </c>
    </row>
    <row r="13" spans="1:16" ht="39.950000000000003" customHeight="1" x14ac:dyDescent="0.25">
      <c r="A13" s="5">
        <v>46066</v>
      </c>
      <c r="B13" s="3" t="s">
        <v>174</v>
      </c>
      <c r="C13" s="7" t="s">
        <v>87</v>
      </c>
      <c r="D13" s="3" t="s">
        <v>16</v>
      </c>
      <c r="E13" s="3" t="s">
        <v>20</v>
      </c>
      <c r="F13" s="3" t="s">
        <v>17</v>
      </c>
      <c r="G13" s="3">
        <v>72</v>
      </c>
      <c r="H13" s="3">
        <v>34.799999999999997</v>
      </c>
      <c r="I13" s="3">
        <v>2505.6</v>
      </c>
      <c r="J13" s="3">
        <v>835.19999999999993</v>
      </c>
      <c r="K13" s="3">
        <v>0</v>
      </c>
      <c r="M13" s="21" t="s">
        <v>154</v>
      </c>
      <c r="N13" s="17" t="s">
        <v>152</v>
      </c>
      <c r="O13" s="18">
        <v>835.19999999999993</v>
      </c>
      <c r="P13" s="19">
        <v>1</v>
      </c>
    </row>
    <row r="14" spans="1:16" ht="39.950000000000003" customHeight="1" x14ac:dyDescent="0.25">
      <c r="A14" s="3" t="s">
        <v>59</v>
      </c>
      <c r="I14" s="3">
        <f>SUBTOTAL(109,表格45[台幣總額])</f>
        <v>2505.6</v>
      </c>
      <c r="J14" s="3">
        <f>SUBTOTAL(109,表格45[我的負擔])</f>
        <v>835.19999999999993</v>
      </c>
      <c r="K14" s="3">
        <f>SUBTOTAL(109,表格45[代墊債權])</f>
        <v>0</v>
      </c>
      <c r="M14" s="15" t="s">
        <v>150</v>
      </c>
      <c r="N14" s="17"/>
      <c r="O14" s="18">
        <f>SUBTOTAL(109,Tbl_Summary_PS_Nomad_M12[總金額])</f>
        <v>835.19999999999993</v>
      </c>
      <c r="P14" s="19">
        <f>SUBTOTAL(109,Tbl_Summary_PS_Nomad_M12[佔比 (%)])</f>
        <v>1</v>
      </c>
    </row>
  </sheetData>
  <sortState xmlns:xlrd2="http://schemas.microsoft.com/office/spreadsheetml/2017/richdata2" ref="M13:P13">
    <sortCondition descending="1" ref="O12"/>
  </sortState>
  <phoneticPr fontId="1" type="noConversion"/>
  <pageMargins left="0.7" right="0.7" top="0.75" bottom="0.75" header="0.3" footer="0.3"/>
  <drawing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Sys_DB_Expenses</vt:lpstr>
      <vt:lpstr>Sys_DB_Wallets</vt:lpstr>
      <vt:lpstr>記帳分類指南</vt:lpstr>
      <vt:lpstr>指揮中心</vt:lpstr>
      <vt:lpstr>Raw_Expenses</vt:lpstr>
      <vt:lpstr>Raw_Wallets</vt:lpstr>
      <vt:lpstr>Group_Summary</vt:lpstr>
      <vt:lpstr>Group_Details</vt:lpstr>
      <vt:lpstr>PS_Smile</vt:lpstr>
      <vt:lpstr>PS_Jiani</vt:lpstr>
      <vt:lpstr>PS_Nomad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Smile Yang</dc:creator>
  <cp:lastModifiedBy>Smile Yang</cp:lastModifiedBy>
  <cp:lastPrinted>2026-02-22T11:40:35Z</cp:lastPrinted>
  <dcterms:created xsi:type="dcterms:W3CDTF">2026-02-17T06:35:15Z</dcterms:created>
  <dcterms:modified xsi:type="dcterms:W3CDTF">2026-02-22T11:41:43Z</dcterms:modified>
</cp:coreProperties>
</file>