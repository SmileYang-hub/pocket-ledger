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ile\Downloads\網頁設計\Expense\PWA_多人\PWA2\測試\"/>
    </mc:Choice>
  </mc:AlternateContent>
  <xr:revisionPtr revIDLastSave="0" documentId="13_ncr:1_{C9EBD4D8-A6BD-4369-B89B-F3D4790A197F}" xr6:coauthVersionLast="47" xr6:coauthVersionMax="47" xr10:uidLastSave="{00000000-0000-0000-0000-000000000000}"/>
  <bookViews>
    <workbookView xWindow="-120" yWindow="-120" windowWidth="29040" windowHeight="15840" firstSheet="4" activeTab="10" xr2:uid="{0F62F40F-2940-40F7-9E06-81750AD34089}"/>
  </bookViews>
  <sheets>
    <sheet name="Sys_DB_Expenses" sheetId="98" state="hidden" r:id="rId1"/>
    <sheet name="Sys_DB_Wallets" sheetId="99" state="hidden" r:id="rId2"/>
    <sheet name="記帳分類指南" sheetId="391" r:id="rId3"/>
    <sheet name="指揮中心" sheetId="144" r:id="rId4"/>
    <sheet name="Raw_Expenses" sheetId="399" r:id="rId5"/>
    <sheet name="Raw_Wallets" sheetId="400" r:id="rId6"/>
    <sheet name="Group_Details" sheetId="401" r:id="rId7"/>
    <sheet name="PS_Smile" sheetId="402" r:id="rId8"/>
    <sheet name="PS_Jiani" sheetId="403" r:id="rId9"/>
    <sheet name="PS_Nomad" sheetId="404" r:id="rId10"/>
    <sheet name="Group_Summary" sheetId="405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404" l="1"/>
  <c r="P15" i="404"/>
  <c r="J15" i="404"/>
  <c r="I15" i="404"/>
  <c r="K15" i="404"/>
  <c r="O16" i="403"/>
  <c r="P16" i="403"/>
  <c r="J18" i="403"/>
  <c r="I18" i="403"/>
  <c r="K18" i="403"/>
  <c r="O19" i="402"/>
  <c r="P19" i="402"/>
  <c r="J23" i="402"/>
  <c r="I23" i="402"/>
  <c r="K23" i="402"/>
  <c r="E8" i="402"/>
  <c r="D8" i="402"/>
  <c r="C8" i="402"/>
  <c r="F8" i="402"/>
  <c r="P8" i="401"/>
  <c r="Q8" i="401"/>
  <c r="J11" i="401"/>
  <c r="H11" i="401"/>
  <c r="L11" i="401"/>
</calcChain>
</file>

<file path=xl/sharedStrings.xml><?xml version="1.0" encoding="utf-8"?>
<sst xmlns="http://schemas.openxmlformats.org/spreadsheetml/2006/main" count="558" uniqueCount="192">
  <si>
    <t>expenseId</t>
  </si>
  <si>
    <t>date</t>
  </si>
  <si>
    <t>category</t>
  </si>
  <si>
    <t>description</t>
  </si>
  <si>
    <t>amount</t>
  </si>
  <si>
    <t>currency</t>
  </si>
  <si>
    <t>appliedRate</t>
  </si>
  <si>
    <t>twdEquivalent</t>
  </si>
  <si>
    <t>payerUID</t>
  </si>
  <si>
    <t>shares</t>
  </si>
  <si>
    <t>paymentMethod</t>
  </si>
  <si>
    <t>walletId</t>
  </si>
  <si>
    <t>notes</t>
  </si>
  <si>
    <t>shareCount</t>
  </si>
  <si>
    <t>e177132006101941hq</t>
  </si>
  <si>
    <t>food</t>
  </si>
  <si>
    <t>火車票</t>
  </si>
  <si>
    <t>EUR</t>
  </si>
  <si>
    <t>u001</t>
  </si>
  <si>
    <t>u001|u002|u003</t>
  </si>
  <si>
    <t>credit</t>
  </si>
  <si>
    <t>e1771319666919vulk</t>
  </si>
  <si>
    <t>ticket</t>
  </si>
  <si>
    <t>印加古道</t>
  </si>
  <si>
    <t>USD</t>
  </si>
  <si>
    <t>u002</t>
  </si>
  <si>
    <t>u001|u002</t>
  </si>
  <si>
    <t>e17713196196831l0s</t>
  </si>
  <si>
    <t>登山團</t>
  </si>
  <si>
    <t>e1770695268320tf8p</t>
  </si>
  <si>
    <t>stay</t>
  </si>
  <si>
    <t>司</t>
  </si>
  <si>
    <t>JPY</t>
  </si>
  <si>
    <t>u004</t>
  </si>
  <si>
    <t>cash</t>
  </si>
  <si>
    <t>w1770695234668</t>
  </si>
  <si>
    <t>e1770695254451094h</t>
  </si>
  <si>
    <t>景</t>
  </si>
  <si>
    <t>e17706951607245owd</t>
  </si>
  <si>
    <t>央</t>
  </si>
  <si>
    <t>w1770695130028</t>
  </si>
  <si>
    <t>e17706951478926kvn</t>
  </si>
  <si>
    <t>縮</t>
  </si>
  <si>
    <t>e177069510280038cn</t>
  </si>
  <si>
    <t>個</t>
  </si>
  <si>
    <t>ownerUID</t>
  </si>
  <si>
    <t>originalAmount</t>
  </si>
  <si>
    <t>balance</t>
  </si>
  <si>
    <t>rate</t>
  </si>
  <si>
    <t>createdAt</t>
  </si>
  <si>
    <t>2026-02-10T03:45:30.028Z</t>
  </si>
  <si>
    <t>2026-02-10T03:47:14.668Z</t>
  </si>
  <si>
    <t>日期</t>
  </si>
  <si>
    <t>描述</t>
  </si>
  <si>
    <t>方式</t>
  </si>
  <si>
    <t>原幣</t>
  </si>
  <si>
    <t>匯率</t>
  </si>
  <si>
    <t>台幣總額</t>
  </si>
  <si>
    <t>每人應攤</t>
  </si>
  <si>
    <t>合計</t>
  </si>
  <si>
    <t>幣別</t>
  </si>
  <si>
    <t>屬性</t>
  </si>
  <si>
    <t>幫人代墊</t>
  </si>
  <si>
    <t>🐬 Smile</t>
  </si>
  <si>
    <t>⚽ Nomad</t>
  </si>
  <si>
    <t>🍔 Shared</t>
  </si>
  <si>
    <t>公款支付</t>
  </si>
  <si>
    <t>JPY 總計</t>
  </si>
  <si>
    <t>USD 總計</t>
  </si>
  <si>
    <t>TWD 總負擔</t>
  </si>
  <si>
    <t>錢包ID</t>
  </si>
  <si>
    <t>原幣額</t>
  </si>
  <si>
    <t>w1771383644138</t>
  </si>
  <si>
    <t>w1771383765050</t>
  </si>
  <si>
    <t>吃大餐</t>
  </si>
  <si>
    <t>e1771383786858tg84</t>
  </si>
  <si>
    <t>gear</t>
  </si>
  <si>
    <t>2026-02-18T03:00:44.138Z</t>
  </si>
  <si>
    <t>2026-02-18T03:02:45.050Z</t>
  </si>
  <si>
    <r>
      <rPr>
        <sz val="16"/>
        <color theme="1"/>
        <rFont val="Iansui"/>
        <family val="3"/>
        <charset val="136"/>
      </rPr>
      <t>類別</t>
    </r>
  </si>
  <si>
    <r>
      <rPr>
        <sz val="16"/>
        <color theme="1"/>
        <rFont val="Iansui"/>
        <family val="3"/>
        <charset val="136"/>
      </rPr>
      <t>支付者</t>
    </r>
  </si>
  <si>
    <r>
      <rPr>
        <sz val="16"/>
        <color theme="1"/>
        <rFont val="Iansui"/>
        <family val="3"/>
        <charset val="136"/>
      </rPr>
      <t>分攤名單</t>
    </r>
  </si>
  <si>
    <t>總金額</t>
  </si>
  <si>
    <t>佔比 (%)</t>
  </si>
  <si>
    <t>【 資產概況 (個人錢包) 】</t>
  </si>
  <si>
    <t>本表記錄流出</t>
  </si>
  <si>
    <t>結算估計剩餘</t>
  </si>
  <si>
    <t>總代墊(A)</t>
  </si>
  <si>
    <t>應攤總負擔(B)</t>
  </si>
  <si>
    <t>公帳分回(C)</t>
  </si>
  <si>
    <t>公款殘值退回(D)</t>
  </si>
  <si>
    <t>淨應收/補狀態</t>
  </si>
  <si>
    <t>我的負擔</t>
  </si>
  <si>
    <t>代墊債權</t>
  </si>
  <si>
    <t>他人支付(我分攤)</t>
  </si>
  <si>
    <t>個人私費</t>
  </si>
  <si>
    <r>
      <rPr>
        <sz val="16"/>
        <color theme="1"/>
        <rFont val="Iansui"/>
        <family val="3"/>
        <charset val="136"/>
      </rPr>
      <t>初始額度</t>
    </r>
  </si>
  <si>
    <r>
      <rPr>
        <sz val="16"/>
        <color theme="1"/>
        <rFont val="Iansui"/>
        <family val="3"/>
        <charset val="136"/>
      </rPr>
      <t>公帳分回</t>
    </r>
    <r>
      <rPr>
        <sz val="16"/>
        <color theme="1"/>
        <rFont val="Segoe UI Emoji"/>
        <family val="2"/>
      </rPr>
      <t>(C)</t>
    </r>
  </si>
  <si>
    <t>預繳/代墊(A)</t>
  </si>
  <si>
    <t>應攤總額(B)</t>
  </si>
  <si>
    <t>最終應收/補</t>
  </si>
  <si>
    <r>
      <rPr>
        <sz val="16"/>
        <color theme="1"/>
        <rFont val="Iansui"/>
        <family val="3"/>
        <charset val="136"/>
      </rPr>
      <t>成員</t>
    </r>
  </si>
  <si>
    <r>
      <rPr>
        <sz val="16"/>
        <color theme="1"/>
        <rFont val="Iansui"/>
        <family val="3"/>
        <charset val="136"/>
      </rPr>
      <t>狀態</t>
    </r>
  </si>
  <si>
    <r>
      <t xml:space="preserve">🔴 </t>
    </r>
    <r>
      <rPr>
        <sz val="16"/>
        <color theme="1"/>
        <rFont val="Iansui"/>
        <family val="3"/>
        <charset val="136"/>
      </rPr>
      <t>須補</t>
    </r>
  </si>
  <si>
    <r>
      <t xml:space="preserve">🟢 </t>
    </r>
    <r>
      <rPr>
        <sz val="16"/>
        <color theme="1"/>
        <rFont val="Iansui"/>
        <family val="3"/>
        <charset val="136"/>
      </rPr>
      <t>拿回</t>
    </r>
  </si>
  <si>
    <t>🌻 Jiani</t>
  </si>
  <si>
    <t>🐬 Smile, 🌻 Jiani, ⚽ Nomad</t>
  </si>
  <si>
    <t>🐬 Smile, 🌻 Jiani</t>
  </si>
  <si>
    <t>🍴 餐飲</t>
  </si>
  <si>
    <t>🎫 機票</t>
  </si>
  <si>
    <t>🏠 住宿</t>
  </si>
  <si>
    <r>
      <t xml:space="preserve">🍴 </t>
    </r>
    <r>
      <rPr>
        <sz val="16"/>
        <color theme="1"/>
        <rFont val="Iansui"/>
        <family val="3"/>
        <charset val="136"/>
      </rPr>
      <t>餐飲</t>
    </r>
  </si>
  <si>
    <r>
      <t xml:space="preserve">🏠 </t>
    </r>
    <r>
      <rPr>
        <sz val="16"/>
        <color theme="1"/>
        <rFont val="Iansui"/>
        <family val="3"/>
        <charset val="136"/>
      </rPr>
      <t>住宿</t>
    </r>
  </si>
  <si>
    <t>【終局債務清算 】</t>
  </si>
  <si>
    <t>【詳細消費紀錄 】</t>
  </si>
  <si>
    <t>✈️ 歐洲旅遊共同記帳分類指南 (8大類別)</t>
  </si>
  <si>
    <t>類別與圖示</t>
  </si>
  <si>
    <t>大方向說明 (適用情境)</t>
  </si>
  <si>
    <t>常見具體項目 (輸入範例)</t>
  </si>
  <si>
    <t>記帳小提醒 (防呆指南)</t>
  </si>
  <si>
    <t>外食、餐廳、咖啡廳、路邊攤</t>
  </si>
  <si>
    <t>餐廳午晚餐、Cafe Sperl 咖啡甜點、冰淇淋、熱狗堡、酒吧喝酒。</t>
  </si>
  <si>
    <t>🚄 交通</t>
  </si>
  <si>
    <t>跨國移動、市內通勤、短程接駁</t>
  </si>
  <si>
    <t>OEBB跨國火車、FlixBus長途巴士、Regiojet、地鐵票、公車票、Uber、計程車。</t>
  </si>
  <si>
    <t>睡覺的地方及相關附加費用</t>
  </si>
  <si>
    <t>Airbnb 總價、飯店住宿費、青年旅館、當地城市稅 (City Tax)、清潔費。</t>
  </si>
  <si>
    <t>💡 訂房網或現場支付的「城市稅」通常是一起算的，請直接合併記在住宿即可。</t>
  </si>
  <si>
    <t>飛行相關的所有開銷</t>
  </si>
  <si>
    <t>台灣來回歐洲大段機票、歐洲內陸航段 (如 Ryanair)、加購行李費、選位費。</t>
  </si>
  <si>
    <t>💡 這是整趟旅程最大筆的單一支出，獨立出來方便日後檢討預算。</t>
  </si>
  <si>
    <t>🛒 超市</t>
  </si>
  <si>
    <t>量販店、超商的日常綜合採買</t>
  </si>
  <si>
    <t>SPAR、Lidl、Billa、Aldi 等超市買的瓶裝水、零食、泡麵、自炊生鮮食材。</t>
  </si>
  <si>
    <t>🎁 活動</t>
  </si>
  <si>
    <t>門票、娛樂體驗、伴手禮與紀念品</t>
  </si>
  <si>
    <t>塞切尼溫泉門票、皇宮/博物館參觀費、導覽費、買給家人的紀念品、明信片。</t>
  </si>
  <si>
    <t>💡 因為圖示是「禮物🎁」，所以除了「體驗行程」外，買來送人或紀念的物品也歸這裡。</t>
  </si>
  <si>
    <t>🧦 裝備</t>
  </si>
  <si>
    <t>出國前準備、旅行必需品 (通常在台灣就買好)</t>
  </si>
  <si>
    <t>旅遊平安/不便險、申根簽證、網卡(eSIM)、新買的背包、發熱衣、常備藥品。</t>
  </si>
  <si>
    <t>💡 主要是「行前開銷」，這些雖然不在當地花，但也是為了這趟旅行產生的費用。</t>
  </si>
  <si>
    <t>📦 雜支</t>
  </si>
  <si>
    <t>行政費用、手續費、或是真的不知道怎麼分的</t>
  </si>
  <si>
    <t>刷卡手續費、跨國提款手續費、匯差、付費廁所零錢、車站行李寄物櫃。</t>
  </si>
  <si>
    <t>💡 記帳遇到「選擇障礙」時的救星。只要不屬於上面 7 類的零星小花費，都丟這裡！</t>
  </si>
  <si>
    <t>💡 給旅伴的「記帳三秒原則」建議 (可以直接傳到群組)：</t>
  </si>
  <si>
    <r>
      <t>這是一份專門為你和旅伴們準備的</t>
    </r>
    <r>
      <rPr>
        <b/>
        <sz val="18"/>
        <color rgb="FF1F1F1F"/>
        <rFont val="Iansui"/>
        <family val="3"/>
        <charset val="136"/>
      </rPr>
      <t>「共同記帳分類指南」</t>
    </r>
    <r>
      <rPr>
        <sz val="18"/>
        <color rgb="FF1F1F1F"/>
        <rFont val="Iansui"/>
        <family val="3"/>
        <charset val="136"/>
      </rPr>
      <t>。我把說明寫得很具體，並加上了「易混淆提醒」，這樣大家在記帳時就不會猶豫不決了！</t>
    </r>
  </si>
  <si>
    <r>
      <t>你可以直接將下方的表格</t>
    </r>
    <r>
      <rPr>
        <b/>
        <sz val="18"/>
        <color rgb="FF1F1F1F"/>
        <rFont val="Iansui"/>
        <family val="3"/>
        <charset val="136"/>
      </rPr>
      <t>反白複製，然後貼上到 Excel 裡</t>
    </r>
    <r>
      <rPr>
        <sz val="18"/>
        <color rgb="FF1F1F1F"/>
        <rFont val="Iansui"/>
        <family val="3"/>
        <charset val="136"/>
      </rPr>
      <t>，它會自動對齊成完美的表格格式，非常方便分享給旅伴：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</si>
  <si>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：如果是去超市買肉、買菜回 Airbnb 自己煮，請記在「超市」類，不要記在餐飲喔！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</si>
  <si>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：飛機不算在這裡。所有的陸上與水上移動、當地交通卡都算此類。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</si>
  <si>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最簡單的判斷法</t>
    </r>
    <r>
      <rPr>
        <sz val="18"/>
        <color rgb="FF1F1F1F"/>
        <rFont val="Iansui"/>
        <family val="3"/>
        <charset val="136"/>
      </rPr>
      <t>：只要發票上面印的是連鎖超市的名字，全部無腦記在這類！</t>
    </r>
  </si>
  <si>
    <r>
      <t xml:space="preserve">1. 吃進肚子裡的：外面買做好的 👉 </t>
    </r>
    <r>
      <rPr>
        <sz val="18"/>
        <color rgb="FF444746"/>
        <rFont val="Iansui"/>
        <family val="3"/>
        <charset val="136"/>
      </rPr>
      <t>🍴 餐飲</t>
    </r>
    <r>
      <rPr>
        <sz val="18"/>
        <color rgb="FF1F1F1F"/>
        <rFont val="Iansui"/>
        <family val="3"/>
        <charset val="136"/>
      </rPr>
      <t xml:space="preserve"> ／ 買回來自己做的 👉 </t>
    </r>
    <r>
      <rPr>
        <sz val="18"/>
        <color rgb="FF444746"/>
        <rFont val="Iansui"/>
        <family val="3"/>
        <charset val="136"/>
      </rPr>
      <t>🛒 超市</t>
    </r>
  </si>
  <si>
    <r>
      <t xml:space="preserve">2. 交通移動的：在天上飛的 👉 </t>
    </r>
    <r>
      <rPr>
        <sz val="18"/>
        <color rgb="FF444746"/>
        <rFont val="Iansui"/>
        <family val="3"/>
        <charset val="136"/>
      </rPr>
      <t>🎫 機票</t>
    </r>
    <r>
      <rPr>
        <sz val="18"/>
        <color rgb="FF1F1F1F"/>
        <rFont val="Iansui"/>
        <family val="3"/>
        <charset val="136"/>
      </rPr>
      <t xml:space="preserve"> ／ 在地上跑的 👉 </t>
    </r>
    <r>
      <rPr>
        <sz val="18"/>
        <color rgb="FF444746"/>
        <rFont val="Iansui"/>
        <family val="3"/>
        <charset val="136"/>
      </rPr>
      <t>🚄 交通</t>
    </r>
  </si>
  <si>
    <r>
      <t xml:space="preserve">3. 花錢買快樂的：門票、溫泉、紀念品 👉 </t>
    </r>
    <r>
      <rPr>
        <sz val="18"/>
        <color rgb="FF444746"/>
        <rFont val="Iansui"/>
        <family val="3"/>
        <charset val="136"/>
      </rPr>
      <t>🎁 活動</t>
    </r>
  </si>
  <si>
    <r>
      <t xml:space="preserve">4. 想不到放哪裡的：全部丟 👉 </t>
    </r>
    <r>
      <rPr>
        <sz val="18"/>
        <color rgb="FF444746"/>
        <rFont val="Iansui"/>
        <family val="3"/>
        <charset val="136"/>
      </rPr>
      <t>📦 雜支</t>
    </r>
  </si>
  <si>
    <t>類別圖示</t>
  </si>
  <si>
    <t>建議項目</t>
  </si>
  <si>
    <t>記帳要點</t>
  </si>
  <si>
    <t>餐廳、咖啡、路邊攤</t>
  </si>
  <si>
    <t>地鐵、火車、Uber</t>
  </si>
  <si>
    <t>陸地上跑的交通工具</t>
  </si>
  <si>
    <t>飯店、Airbnb、城市稅</t>
  </si>
  <si>
    <t>睡覺相關的總支出</t>
  </si>
  <si>
    <t>國際與歐內大段機票</t>
  </si>
  <si>
    <t>包含加購行李與選位</t>
  </si>
  <si>
    <t>SPAR、Billa、買菜自炊</t>
  </si>
  <si>
    <t>門票、溫泉、伴手禮</t>
  </si>
  <si>
    <t>體驗行程與買給人的禮物</t>
  </si>
  <si>
    <t>保險、網卡、行前購買</t>
  </si>
  <si>
    <t>出發前就產生的開銷</t>
  </si>
  <si>
    <t>廁所、寄物、刷卡手續費</t>
  </si>
  <si>
    <t>無法分類的零碎支出</t>
  </si>
  <si>
    <t>買生鮮食材與飲水首選</t>
    <phoneticPr fontId="1" type="noConversion"/>
  </si>
  <si>
    <t>外食才算這一類</t>
    <phoneticPr fontId="1" type="noConversion"/>
  </si>
  <si>
    <t>🎫 門票</t>
  </si>
  <si>
    <r>
      <t xml:space="preserve">🎫 </t>
    </r>
    <r>
      <rPr>
        <sz val="16"/>
        <color theme="1"/>
        <rFont val="Iansui"/>
        <family val="3"/>
        <charset val="136"/>
      </rPr>
      <t>門票</t>
    </r>
  </si>
  <si>
    <r>
      <t xml:space="preserve">🧦 </t>
    </r>
    <r>
      <rPr>
        <sz val="16"/>
        <color theme="1"/>
        <rFont val="Iansui"/>
        <family val="3"/>
        <charset val="136"/>
      </rPr>
      <t>裝備</t>
    </r>
  </si>
  <si>
    <r>
      <rPr>
        <sz val="20"/>
        <color theme="1"/>
        <rFont val="Iansui"/>
        <family val="3"/>
        <charset val="136"/>
      </rPr>
      <t>圖例</t>
    </r>
  </si>
  <si>
    <r>
      <rPr>
        <sz val="20"/>
        <color theme="1"/>
        <rFont val="Iansui"/>
        <family val="3"/>
        <charset val="136"/>
      </rPr>
      <t>合計</t>
    </r>
  </si>
  <si>
    <r>
      <rPr>
        <sz val="20"/>
        <color theme="1"/>
        <rFont val="Iansui"/>
        <family val="3"/>
        <charset val="136"/>
      </rPr>
      <t>消費類別</t>
    </r>
  </si>
  <si>
    <r>
      <t xml:space="preserve">🍴 </t>
    </r>
    <r>
      <rPr>
        <sz val="20"/>
        <color theme="1"/>
        <rFont val="Iansui"/>
        <family val="3"/>
        <charset val="136"/>
      </rPr>
      <t>餐飲</t>
    </r>
  </si>
  <si>
    <r>
      <t xml:space="preserve">🧦 </t>
    </r>
    <r>
      <rPr>
        <sz val="20"/>
        <color theme="1"/>
        <rFont val="Iansui"/>
        <family val="3"/>
        <charset val="136"/>
      </rPr>
      <t>裝備</t>
    </r>
  </si>
  <si>
    <r>
      <t xml:space="preserve">🎫 </t>
    </r>
    <r>
      <rPr>
        <sz val="20"/>
        <color theme="1"/>
        <rFont val="Iansui"/>
        <family val="3"/>
        <charset val="136"/>
      </rPr>
      <t>門票</t>
    </r>
  </si>
  <si>
    <r>
      <t xml:space="preserve">🏠 </t>
    </r>
    <r>
      <rPr>
        <sz val="20"/>
        <color theme="1"/>
        <rFont val="Iansui"/>
        <family val="3"/>
        <charset val="136"/>
      </rPr>
      <t>住宿</t>
    </r>
  </si>
  <si>
    <r>
      <rPr>
        <sz val="20"/>
        <color rgb="FF22C55E"/>
        <rFont val="Iansui"/>
        <family val="3"/>
        <charset val="136"/>
      </rPr>
      <t>●</t>
    </r>
  </si>
  <si>
    <r>
      <rPr>
        <sz val="20"/>
        <color rgb="FF3B82F6"/>
        <rFont val="Iansui"/>
        <family val="3"/>
        <charset val="136"/>
      </rPr>
      <t>●</t>
    </r>
  </si>
  <si>
    <r>
      <rPr>
        <sz val="20"/>
        <color rgb="FFF97316"/>
        <rFont val="Iansui"/>
        <family val="3"/>
        <charset val="136"/>
      </rPr>
      <t>●</t>
    </r>
  </si>
  <si>
    <r>
      <rPr>
        <sz val="20"/>
        <color rgb="FFEC4899"/>
        <rFont val="Iansui"/>
        <family val="3"/>
        <charset val="136"/>
      </rPr>
      <t>●</t>
    </r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</si>
  <si>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$38,453</t>
    </r>
  </si>
  <si>
    <r>
      <t xml:space="preserve">🟢 </t>
    </r>
    <r>
      <rPr>
        <sz val="16"/>
        <color theme="1"/>
        <rFont val="Iansui"/>
        <family val="3"/>
        <charset val="136"/>
      </rPr>
      <t>應收回</t>
    </r>
    <r>
      <rPr>
        <sz val="16"/>
        <color theme="1"/>
        <rFont val="Segoe UI Emoji"/>
        <family val="2"/>
      </rPr>
      <t xml:space="preserve"> $55,238</t>
    </r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</si>
  <si>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$17,434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</si>
</sst>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&quot;$&quot;#,##0"/>
    <numFmt numFmtId="179" formatCode="0.0%"/>
  </numFmts>
  <fonts count="2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Iansui"/>
      <family val="3"/>
      <charset val="136"/>
    </font>
    <font>
      <sz val="16"/>
      <color theme="1"/>
      <name val="Iansui"/>
      <family val="3"/>
      <charset val="136"/>
    </font>
    <font>
      <b/>
      <sz val="22"/>
      <color theme="1"/>
      <name val="Iansui"/>
      <family val="3"/>
      <charset val="136"/>
    </font>
    <font>
      <sz val="16"/>
      <color theme="1"/>
      <name val="Segoe UI Emoji"/>
      <family val="2"/>
    </font>
    <font>
      <b/>
      <sz val="26"/>
      <color rgb="FF323232"/>
      <name val="Segoe UI Emoji"/>
      <family val="2"/>
    </font>
    <font>
      <sz val="18"/>
      <color rgb="FF1F1F1F"/>
      <name val="Iansui"/>
      <family val="3"/>
      <charset val="136"/>
    </font>
    <font>
      <b/>
      <sz val="18"/>
      <color rgb="FF1F1F1F"/>
      <name val="Iansui"/>
      <family val="3"/>
      <charset val="136"/>
    </font>
    <font>
      <sz val="18"/>
      <color theme="1"/>
      <name val="Iansui"/>
      <family val="3"/>
      <charset val="136"/>
    </font>
    <font>
      <sz val="18"/>
      <color rgb="FF444746"/>
      <name val="Iansui"/>
      <family val="3"/>
      <charset val="136"/>
    </font>
    <font>
      <b/>
      <sz val="22"/>
      <color rgb="FF15803D"/>
      <name val="Iansui"/>
      <family val="3"/>
      <charset val="136"/>
    </font>
    <font>
      <sz val="20"/>
      <color theme="1"/>
      <name val="Iansui"/>
      <family val="3"/>
      <charset val="136"/>
    </font>
    <font>
      <sz val="20"/>
      <color theme="1"/>
      <name val="Segoe UI Emoji"/>
      <family val="2"/>
    </font>
    <font>
      <sz val="20"/>
      <color rgb="FF22C55E"/>
      <name val="Segoe UI Emoji"/>
      <family val="2"/>
    </font>
    <font>
      <sz val="20"/>
      <color rgb="FF22C55E"/>
      <name val="Iansui"/>
      <family val="3"/>
      <charset val="136"/>
    </font>
    <font>
      <sz val="20"/>
      <color rgb="FF3B82F6"/>
      <name val="Segoe UI Emoji"/>
      <family val="2"/>
    </font>
    <font>
      <sz val="20"/>
      <color rgb="FF3B82F6"/>
      <name val="Iansui"/>
      <family val="3"/>
      <charset val="136"/>
    </font>
    <font>
      <sz val="20"/>
      <color rgb="FFF97316"/>
      <name val="Segoe UI Emoji"/>
      <family val="2"/>
    </font>
    <font>
      <sz val="20"/>
      <color rgb="FFF97316"/>
      <name val="Iansui"/>
      <family val="3"/>
      <charset val="136"/>
    </font>
    <font>
      <sz val="20"/>
      <color rgb="FFEC4899"/>
      <name val="Segoe UI Emoji"/>
      <family val="2"/>
    </font>
    <font>
      <sz val="20"/>
      <color rgb="FFEC4899"/>
      <name val="Iansui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EDD5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22" fontId="0" fillId="0" borderId="0" xfId="0" applyNumberFormat="1">
      <alignment vertical="center"/>
    </xf>
    <xf numFmtId="0" fontId="3" fillId="0" borderId="0" xfId="0" applyFont="1">
      <alignment vertical="center"/>
    </xf>
    <xf numFmtId="22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6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4" borderId="0" xfId="0" applyFont="1" applyFill="1">
      <alignment vertical="center"/>
    </xf>
    <xf numFmtId="177" fontId="3" fillId="0" borderId="0" xfId="0" applyNumberFormat="1" applyFont="1">
      <alignment vertical="center"/>
    </xf>
    <xf numFmtId="0" fontId="7" fillId="0" borderId="0" xfId="0" applyFont="1" applyAlignment="1">
      <alignment horizontal="left" vertical="center" readingOrder="1"/>
    </xf>
    <xf numFmtId="0" fontId="9" fillId="0" borderId="0" xfId="0" applyFont="1">
      <alignment vertical="center"/>
    </xf>
    <xf numFmtId="0" fontId="8" fillId="0" borderId="1" xfId="0" applyFont="1" applyBorder="1" applyAlignment="1">
      <alignment vertical="center" wrapText="1" readingOrder="1"/>
    </xf>
    <xf numFmtId="0" fontId="7" fillId="0" borderId="1" xfId="0" applyFont="1" applyBorder="1" applyAlignment="1">
      <alignment vertical="center" wrapText="1" readingOrder="1"/>
    </xf>
    <xf numFmtId="0" fontId="11" fillId="0" borderId="0" xfId="0" applyFont="1">
      <alignment vertical="center"/>
    </xf>
    <xf numFmtId="0" fontId="7" fillId="0" borderId="0" xfId="0" applyFont="1" applyAlignment="1">
      <alignment horizontal="left" vertical="center" readingOrder="1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77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一般" xfId="0" builtinId="0"/>
  </cellStyles>
  <dxfs count="208">
    <dxf>
      <font>
        <b val="0"/>
        <i val="0"/>
        <strike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90EE9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520-4B03-B393-C7099F85BEC3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520-4B03-B393-C7099F85BEC3}"/>
              </c:ext>
            </c:extLst>
          </c:dPt>
          <c:dPt>
            <c:idx val="2"/>
            <c:bubble3D val="0"/>
            <c:spPr>
              <a:solidFill>
                <a:srgbClr val="F9731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520-4B03-B393-C7099F85BEC3}"/>
              </c:ext>
            </c:extLst>
          </c:dPt>
          <c:dPt>
            <c:idx val="3"/>
            <c:bubble3D val="0"/>
            <c:spPr>
              <a:solidFill>
                <a:srgbClr val="EC4899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520-4B03-B393-C7099F85BEC3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20-4B03-B393-C7099F85BEC3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🧦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20-4B03-B393-C7099F85BEC3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20-4B03-B393-C7099F85BEC3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🏠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20-4B03-B393-C7099F85BE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Group_Details!$O$4:$O$7</c:f>
              <c:strCache>
                <c:ptCount val="4"/>
                <c:pt idx="0">
                  <c:v>🍴 餐飲</c:v>
                </c:pt>
                <c:pt idx="1">
                  <c:v>🧦 裝備</c:v>
                </c:pt>
                <c:pt idx="2">
                  <c:v>🎫 門票</c:v>
                </c:pt>
                <c:pt idx="3">
                  <c:v>🏠 住宿</c:v>
                </c:pt>
              </c:strCache>
            </c:strRef>
          </c:cat>
          <c:val>
            <c:numRef>
              <c:f>Group_Details!$P$4:$P$7</c:f>
              <c:numCache>
                <c:formatCode>"$"#,##0</c:formatCode>
                <c:ptCount val="4"/>
                <c:pt idx="0">
                  <c:v>188202.1</c:v>
                </c:pt>
                <c:pt idx="1">
                  <c:v>66000</c:v>
                </c:pt>
                <c:pt idx="2">
                  <c:v>15813</c:v>
                </c:pt>
                <c:pt idx="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0-4B03-B393-C7099F85B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537-4FF5-89B1-971650D3C1A5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B537-4FF5-89B1-971650D3C1A5}"/>
              </c:ext>
            </c:extLst>
          </c:dPt>
          <c:dPt>
            <c:idx val="2"/>
            <c:bubble3D val="0"/>
            <c:spPr>
              <a:solidFill>
                <a:srgbClr val="F9731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537-4FF5-89B1-971650D3C1A5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537-4FF5-89B1-971650D3C1A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🧦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537-4FF5-89B1-971650D3C1A5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537-4FF5-89B1-971650D3C1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PS_Smile!$N$16:$N$18</c:f>
              <c:strCache>
                <c:ptCount val="3"/>
                <c:pt idx="0">
                  <c:v>🍴 餐飲</c:v>
                </c:pt>
                <c:pt idx="1">
                  <c:v>🧦 裝備</c:v>
                </c:pt>
                <c:pt idx="2">
                  <c:v>🎫 門票</c:v>
                </c:pt>
              </c:strCache>
            </c:strRef>
          </c:cat>
          <c:val>
            <c:numRef>
              <c:f>PS_Smile!$O$16:$O$18</c:f>
              <c:numCache>
                <c:formatCode>"$"#,##0</c:formatCode>
                <c:ptCount val="3"/>
                <c:pt idx="0">
                  <c:v>110453.45</c:v>
                </c:pt>
                <c:pt idx="1">
                  <c:v>22000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7-4FF5-89B1-971650D3C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75A-49BF-9908-E0B7C3A6181C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75A-49BF-9908-E0B7C3A6181C}"/>
              </c:ext>
            </c:extLst>
          </c:dPt>
          <c:dPt>
            <c:idx val="2"/>
            <c:bubble3D val="0"/>
            <c:spPr>
              <a:solidFill>
                <a:srgbClr val="F9731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75A-49BF-9908-E0B7C3A6181C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75A-49BF-9908-E0B7C3A6181C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🧦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75A-49BF-9908-E0B7C3A6181C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75A-49BF-9908-E0B7C3A6181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PS_Jiani!$N$13:$N$15</c:f>
              <c:strCache>
                <c:ptCount val="3"/>
                <c:pt idx="0">
                  <c:v>🍴 餐飲</c:v>
                </c:pt>
                <c:pt idx="1">
                  <c:v>🧦 裝備</c:v>
                </c:pt>
                <c:pt idx="2">
                  <c:v>🎫 門票</c:v>
                </c:pt>
              </c:strCache>
            </c:strRef>
          </c:cat>
          <c:val>
            <c:numRef>
              <c:f>PS_Jiani!$O$13:$O$15</c:f>
              <c:numCache>
                <c:formatCode>"$"#,##0</c:formatCode>
                <c:ptCount val="3"/>
                <c:pt idx="0">
                  <c:v>93600.95</c:v>
                </c:pt>
                <c:pt idx="1">
                  <c:v>22000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A-49BF-9908-E0B7C3A61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317-426C-BDFA-0072B8826149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0317-426C-BDFA-0072B882614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🧦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317-426C-BDFA-0072B88261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317-426C-BDFA-0072B882614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PS_Nomad!$N$13:$N$14</c:f>
              <c:strCache>
                <c:ptCount val="2"/>
                <c:pt idx="0">
                  <c:v>🧦 裝備</c:v>
                </c:pt>
                <c:pt idx="1">
                  <c:v>🍴 餐飲</c:v>
                </c:pt>
              </c:strCache>
            </c:strRef>
          </c:cat>
          <c:val>
            <c:numRef>
              <c:f>PS_Nomad!$O$13:$O$14</c:f>
              <c:numCache>
                <c:formatCode>"$"#,##0</c:formatCode>
                <c:ptCount val="2"/>
                <c:pt idx="0">
                  <c:v>22000</c:v>
                </c:pt>
                <c:pt idx="1">
                  <c:v>835.19999999999993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7-426C-BDFA-0072B8826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1867805</xdr:colOff>
      <xdr:row>41</xdr:row>
      <xdr:rowOff>200627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EF1E1347-61B5-A4AA-756E-F03750AEF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14249400"/>
          <a:ext cx="6487430" cy="4315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4349750</xdr:colOff>
      <xdr:row>3</xdr:row>
      <xdr:rowOff>50800</xdr:rowOff>
    </xdr:from>
    <xdr:to>
      <xdr:col>13</xdr:col>
      <xdr:colOff>615950</xdr:colOff>
      <xdr:row>6</xdr:row>
      <xdr:rowOff>92075</xdr:rowOff>
    </xdr:to>
    <xdr:sp macro="Btn1_ImportData" textlink="">
      <xdr:nvSpPr>
        <xdr:cNvPr id="2" name="矩形: 圓角 1">
          <a:extLst>
            <a:ext uri="{FF2B5EF4-FFF2-40B4-BE49-F238E27FC236}">
              <a16:creationId xmlns:a16="http://schemas.microsoft.com/office/drawing/2014/main" id="{A46BC8ED-B10C-50D7-56C4-2B5DA6B63AE3}"/>
            </a:ext>
          </a:extLst>
        </xdr:cNvPr>
        <xdr:cNvSpPr/>
      </xdr:nvSpPr>
      <xdr:spPr>
        <a:xfrm>
          <a:off x="5721350" y="974725"/>
          <a:ext cx="10220325" cy="698500"/>
        </a:xfrm>
        <a:prstGeom prst="roundRect">
          <a:avLst/>
        </a:prstGeom>
        <a:solidFill>
          <a:srgbClr val="9BBB5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1.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 </a:t>
          </a:r>
          <a:r>
            <a:rPr lang="zh-TW" altLang="en-US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自動匯入 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(Import)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0</xdr:col>
      <xdr:colOff>187325</xdr:colOff>
      <xdr:row>8</xdr:row>
      <xdr:rowOff>53975</xdr:rowOff>
    </xdr:from>
    <xdr:to>
      <xdr:col>5</xdr:col>
      <xdr:colOff>568325</xdr:colOff>
      <xdr:row>11</xdr:row>
      <xdr:rowOff>95250</xdr:rowOff>
    </xdr:to>
    <xdr:sp macro="Btn2_Settings" textlink="">
      <xdr:nvSpPr>
        <xdr:cNvPr id="3" name="矩形: 圓角 2">
          <a:extLst>
            <a:ext uri="{FF2B5EF4-FFF2-40B4-BE49-F238E27FC236}">
              <a16:creationId xmlns:a16="http://schemas.microsoft.com/office/drawing/2014/main" id="{F78A2200-F7C3-1D88-E0B1-4A2221319031}"/>
            </a:ext>
          </a:extLst>
        </xdr:cNvPr>
        <xdr:cNvSpPr/>
      </xdr:nvSpPr>
      <xdr:spPr>
        <a:xfrm>
          <a:off x="187325" y="2073275"/>
          <a:ext cx="10220325" cy="698500"/>
        </a:xfrm>
        <a:prstGeom prst="roundRect">
          <a:avLst/>
        </a:prstGeom>
        <a:solidFill>
          <a:srgbClr val="70707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2.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系統設定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(Settings)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4416425</xdr:colOff>
      <xdr:row>12</xdr:row>
      <xdr:rowOff>171450</xdr:rowOff>
    </xdr:from>
    <xdr:to>
      <xdr:col>13</xdr:col>
      <xdr:colOff>682625</xdr:colOff>
      <xdr:row>15</xdr:row>
      <xdr:rowOff>212725</xdr:rowOff>
    </xdr:to>
    <xdr:sp macro="Btn3_GroupDetails" textlink="">
      <xdr:nvSpPr>
        <xdr:cNvPr id="4" name="矩形: 圓角 3">
          <a:extLst>
            <a:ext uri="{FF2B5EF4-FFF2-40B4-BE49-F238E27FC236}">
              <a16:creationId xmlns:a16="http://schemas.microsoft.com/office/drawing/2014/main" id="{65A85481-8FEE-2BA2-A661-5B7B5547D2F0}"/>
            </a:ext>
          </a:extLst>
        </xdr:cNvPr>
        <xdr:cNvSpPr/>
      </xdr:nvSpPr>
      <xdr:spPr>
        <a:xfrm>
          <a:off x="5788025" y="3067050"/>
          <a:ext cx="10220325" cy="698500"/>
        </a:xfrm>
        <a:prstGeom prst="roundRect">
          <a:avLst/>
        </a:prstGeom>
        <a:solidFill>
          <a:srgbClr val="9696FA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3.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團體明細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(Group)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158750</xdr:colOff>
      <xdr:row>17</xdr:row>
      <xdr:rowOff>174625</xdr:rowOff>
    </xdr:from>
    <xdr:to>
      <xdr:col>5</xdr:col>
      <xdr:colOff>539750</xdr:colOff>
      <xdr:row>20</xdr:row>
      <xdr:rowOff>215900</xdr:rowOff>
    </xdr:to>
    <xdr:sp macro="Btn4_PersonalSheets" textlink="">
      <xdr:nvSpPr>
        <xdr:cNvPr id="5" name="矩形: 圓角 4">
          <a:extLst>
            <a:ext uri="{FF2B5EF4-FFF2-40B4-BE49-F238E27FC236}">
              <a16:creationId xmlns:a16="http://schemas.microsoft.com/office/drawing/2014/main" id="{B3EFE33B-30F7-2766-52B1-20BFF07ACE0A}"/>
            </a:ext>
          </a:extLst>
        </xdr:cNvPr>
        <xdr:cNvSpPr/>
      </xdr:nvSpPr>
      <xdr:spPr>
        <a:xfrm>
          <a:off x="158750" y="4165600"/>
          <a:ext cx="10220325" cy="6985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4.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個人分頁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(Personal)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815975</xdr:colOff>
      <xdr:row>23</xdr:row>
      <xdr:rowOff>73025</xdr:rowOff>
    </xdr:from>
    <xdr:to>
      <xdr:col>8</xdr:col>
      <xdr:colOff>511175</xdr:colOff>
      <xdr:row>26</xdr:row>
      <xdr:rowOff>114300</xdr:rowOff>
    </xdr:to>
    <xdr:sp macro="Btn5_GroupSummary" textlink="">
      <xdr:nvSpPr>
        <xdr:cNvPr id="6" name="矩形: 圓角 5">
          <a:extLst>
            <a:ext uri="{FF2B5EF4-FFF2-40B4-BE49-F238E27FC236}">
              <a16:creationId xmlns:a16="http://schemas.microsoft.com/office/drawing/2014/main" id="{8EC8FF98-423B-2DE8-8770-1921C2A41D1D}"/>
            </a:ext>
          </a:extLst>
        </xdr:cNvPr>
        <xdr:cNvSpPr/>
      </xdr:nvSpPr>
      <xdr:spPr>
        <a:xfrm>
          <a:off x="2187575" y="5378450"/>
          <a:ext cx="10220325" cy="6985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5.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終局結算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(Summary)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352425</xdr:colOff>
      <xdr:row>0</xdr:row>
      <xdr:rowOff>47625</xdr:rowOff>
    </xdr:from>
    <xdr:to>
      <xdr:col>10</xdr:col>
      <xdr:colOff>533400</xdr:colOff>
      <xdr:row>5</xdr:row>
      <xdr:rowOff>180975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1829F41F-F881-4DF0-BFFC-AD008953FFE1}"/>
            </a:ext>
          </a:extLst>
        </xdr:cNvPr>
        <xdr:cNvSpPr/>
      </xdr:nvSpPr>
      <xdr:spPr>
        <a:xfrm>
          <a:off x="352425" y="47625"/>
          <a:ext cx="13449300" cy="149542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🐬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2026 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哆啦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A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夢對帳系統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(Colorful Icons)</a:t>
          </a:r>
          <a:endParaRPr lang="zh-TW" altLang="en-US" sz="4800" b="1">
            <a:solidFill>
              <a:srgbClr val="323232"/>
            </a:solidFill>
            <a:latin typeface="華康POP1體W5" panose="040B0509000000000000" pitchFamily="81" charset="-120"/>
            <a:ea typeface="華康POP1體W5" panose="040B0509000000000000" pitchFamily="81" charset="-120"/>
          </a:endParaRPr>
        </a:p>
      </xdr:txBody>
    </xdr:sp>
    <xdr:clientData/>
  </xdr:twoCellAnchor>
  <xdr:twoCellAnchor>
    <xdr:from>
      <xdr:col>10</xdr:col>
      <xdr:colOff>333375</xdr:colOff>
      <xdr:row>17</xdr:row>
      <xdr:rowOff>161925</xdr:rowOff>
    </xdr:from>
    <xdr:to>
      <xdr:col>13</xdr:col>
      <xdr:colOff>114300</xdr:colOff>
      <xdr:row>20</xdr:row>
      <xdr:rowOff>203200</xdr:rowOff>
    </xdr:to>
    <xdr:sp macro="[0]!ExportMacaronPDF_Ultimate_Final" textlink="">
      <xdr:nvSpPr>
        <xdr:cNvPr id="8" name="矩形: 圓角 7">
          <a:extLst>
            <a:ext uri="{FF2B5EF4-FFF2-40B4-BE49-F238E27FC236}">
              <a16:creationId xmlns:a16="http://schemas.microsoft.com/office/drawing/2014/main" id="{DA65A8D1-D799-45D7-9E0B-C13887E94AC7}"/>
            </a:ext>
          </a:extLst>
        </xdr:cNvPr>
        <xdr:cNvSpPr/>
      </xdr:nvSpPr>
      <xdr:spPr>
        <a:xfrm>
          <a:off x="13601700" y="4152900"/>
          <a:ext cx="1838325" cy="6985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PDF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匯出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12</xdr:col>
      <xdr:colOff>209550</xdr:colOff>
      <xdr:row>23</xdr:row>
      <xdr:rowOff>76200</xdr:rowOff>
    </xdr:from>
    <xdr:to>
      <xdr:col>14</xdr:col>
      <xdr:colOff>676275</xdr:colOff>
      <xdr:row>26</xdr:row>
      <xdr:rowOff>117475</xdr:rowOff>
    </xdr:to>
    <xdr:sp macro="[0]!ShowExportForm" textlink="">
      <xdr:nvSpPr>
        <xdr:cNvPr id="9" name="矩形: 圓角 8">
          <a:extLst>
            <a:ext uri="{FF2B5EF4-FFF2-40B4-BE49-F238E27FC236}">
              <a16:creationId xmlns:a16="http://schemas.microsoft.com/office/drawing/2014/main" id="{75671A54-2C00-40E8-A249-2F66C3B227A4}"/>
            </a:ext>
          </a:extLst>
        </xdr:cNvPr>
        <xdr:cNvSpPr/>
      </xdr:nvSpPr>
      <xdr:spPr>
        <a:xfrm>
          <a:off x="14849475" y="5381625"/>
          <a:ext cx="1838325" cy="698500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800" b="0">
              <a:solidFill>
                <a:sysClr val="windowText" lastClr="000000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個人匯出</a:t>
          </a:r>
          <a:endParaRPr lang="zh-TW" altLang="en-US" sz="2800" b="0">
            <a:solidFill>
              <a:sysClr val="windowText" lastClr="000000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41275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25F55C1A-E73A-E645-98D6-B222377E091B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241300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8A30BAD0-D3CA-D277-50F4-71C75F8E68B8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254000</xdr:colOff>
      <xdr:row>2</xdr:row>
      <xdr:rowOff>0</xdr:rowOff>
    </xdr:from>
    <xdr:to>
      <xdr:col>33</xdr:col>
      <xdr:colOff>127000</xdr:colOff>
      <xdr:row>22</xdr:row>
      <xdr:rowOff>142875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50D5D33-C5CF-3393-BDBD-62F544742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DDD890ED-C13B-B006-376C-B4718C1BD2C9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14</xdr:row>
      <xdr:rowOff>0</xdr:rowOff>
    </xdr:from>
    <xdr:to>
      <xdr:col>32</xdr:col>
      <xdr:colOff>127000</xdr:colOff>
      <xdr:row>36</xdr:row>
      <xdr:rowOff>76200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869DE7E-05D1-EE8C-5F08-CAAD47B64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CB0CAF9D-0C25-A596-52AE-B7B86AB9CC63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11</xdr:row>
      <xdr:rowOff>0</xdr:rowOff>
    </xdr:from>
    <xdr:to>
      <xdr:col>32</xdr:col>
      <xdr:colOff>127000</xdr:colOff>
      <xdr:row>33</xdr:row>
      <xdr:rowOff>76200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97251DF-D8A3-AACD-F6D4-4122324F1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89258BCA-3EAD-6B40-98E9-BB122EA5638D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11</xdr:row>
      <xdr:rowOff>0</xdr:rowOff>
    </xdr:from>
    <xdr:to>
      <xdr:col>32</xdr:col>
      <xdr:colOff>127000</xdr:colOff>
      <xdr:row>33</xdr:row>
      <xdr:rowOff>285750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21C5645-875F-9978-6573-56FF0910CE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4205D6E4-082A-2A17-26A6-D3043693A5D7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95250</xdr:rowOff>
    </xdr:from>
    <xdr:to>
      <xdr:col>15</xdr:col>
      <xdr:colOff>508000</xdr:colOff>
      <xdr:row>3</xdr:row>
      <xdr:rowOff>158750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BF2E8993-3BED-BBB3-D5B7-C556135917FE}"/>
            </a:ext>
          </a:extLst>
        </xdr:cNvPr>
        <xdr:cNvSpPr/>
      </xdr:nvSpPr>
      <xdr:spPr>
        <a:xfrm>
          <a:off x="635000" y="381000"/>
          <a:ext cx="10160000" cy="635000"/>
        </a:xfrm>
        <a:prstGeom prst="roundRect">
          <a:avLst/>
        </a:prstGeom>
        <a:solidFill>
          <a:srgbClr val="C4CAF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2400" b="1">
              <a:solidFill>
                <a:srgbClr val="15803D"/>
              </a:solidFill>
              <a:latin typeface="Iansui" pitchFamily="2" charset="-120"/>
            </a:rPr>
            <a:t>【 Settlement Summary 】</a:t>
          </a:r>
          <a:endParaRPr lang="zh-TW" altLang="en-US" sz="2400" b="1">
            <a:solidFill>
              <a:srgbClr val="15803D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4</xdr:row>
      <xdr:rowOff>0</xdr:rowOff>
    </xdr:from>
    <xdr:to>
      <xdr:col>12</xdr:col>
      <xdr:colOff>25400</xdr:colOff>
      <xdr:row>5</xdr:row>
      <xdr:rowOff>222250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700B667C-B4DD-D624-74B5-1F4717EB6ABC}"/>
            </a:ext>
          </a:extLst>
        </xdr:cNvPr>
        <xdr:cNvSpPr/>
      </xdr:nvSpPr>
      <xdr:spPr>
        <a:xfrm>
          <a:off x="635000" y="114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🐬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Smile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$38,453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6</xdr:row>
      <xdr:rowOff>63500</xdr:rowOff>
    </xdr:from>
    <xdr:to>
      <xdr:col>12</xdr:col>
      <xdr:colOff>25400</xdr:colOff>
      <xdr:row>8</xdr:row>
      <xdr:rowOff>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9E3EB7D7-88EA-2DDC-C513-EBBE5D3DD7AA}"/>
            </a:ext>
          </a:extLst>
        </xdr:cNvPr>
        <xdr:cNvSpPr/>
      </xdr:nvSpPr>
      <xdr:spPr>
        <a:xfrm>
          <a:off x="635000" y="1778000"/>
          <a:ext cx="7620000" cy="508000"/>
        </a:xfrm>
        <a:prstGeom prst="roundRect">
          <a:avLst/>
        </a:prstGeom>
        <a:solidFill>
          <a:srgbClr val="90EE9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🌻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Jiani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拿回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$55,238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8</xdr:row>
      <xdr:rowOff>127000</xdr:rowOff>
    </xdr:from>
    <xdr:to>
      <xdr:col>12</xdr:col>
      <xdr:colOff>25400</xdr:colOff>
      <xdr:row>10</xdr:row>
      <xdr:rowOff>63500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5EFEAB7F-3CDD-972C-33FF-A5551D98F86B}"/>
            </a:ext>
          </a:extLst>
        </xdr:cNvPr>
        <xdr:cNvSpPr/>
      </xdr:nvSpPr>
      <xdr:spPr>
        <a:xfrm>
          <a:off x="635000" y="241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⚽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Nomad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$17,434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85725</xdr:rowOff>
    </xdr:to>
    <xdr:sp macro="GoToHome" textlink="">
      <xdr:nvSpPr>
        <xdr:cNvPr id="6" name="矩形: 圓角 5">
          <a:extLst>
            <a:ext uri="{FF2B5EF4-FFF2-40B4-BE49-F238E27FC236}">
              <a16:creationId xmlns:a16="http://schemas.microsoft.com/office/drawing/2014/main" id="{C4679184-B70F-A7D2-7A38-F11234963BC5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A67FDB-C4D5-43C7-9C8E-F1B5052FC872}" name="表格1" displayName="表格1" ref="A3:M12" totalsRowShown="0" headerRowDxfId="193" dataDxfId="194">
  <autoFilter ref="A3:M12" xr:uid="{8CA67FDB-C4D5-43C7-9C8E-F1B5052FC872}"/>
  <tableColumns count="13">
    <tableColumn id="1" xr3:uid="{29DAD06E-4ECC-4EDD-ABA6-DF8583C092A7}" name="expenseId" dataDxfId="207"/>
    <tableColumn id="2" xr3:uid="{4F8C63AF-1864-4F42-951B-74B6A13CB6CE}" name="date" dataDxfId="206"/>
    <tableColumn id="3" xr3:uid="{AD606E2F-E5F7-4DCC-9B8C-4EB48488E980}" name="category" dataDxfId="205"/>
    <tableColumn id="4" xr3:uid="{B4955850-5839-45F0-8BA3-8CE087A43E2A}" name="description" dataDxfId="204"/>
    <tableColumn id="5" xr3:uid="{E15CD005-D68A-4639-B5A4-2893CAF43193}" name="amount" dataDxfId="203"/>
    <tableColumn id="6" xr3:uid="{87F19B68-8D89-421D-8757-17C388C79BAC}" name="currency" dataDxfId="202"/>
    <tableColumn id="7" xr3:uid="{BF184DEF-9FCE-4515-8B49-8F139C18163F}" name="appliedRate" dataDxfId="201"/>
    <tableColumn id="8" xr3:uid="{3B9D5020-92E4-49AE-B6D3-1CBD4F14CE4B}" name="twdEquivalent" dataDxfId="200"/>
    <tableColumn id="9" xr3:uid="{E7128A6C-D76C-4ABD-9E89-A12CC33EC00A}" name="payerUID" dataDxfId="199"/>
    <tableColumn id="10" xr3:uid="{EACA2D44-5A06-4BF6-B800-C49DE8A3343A}" name="shares" dataDxfId="198"/>
    <tableColumn id="11" xr3:uid="{8D98951C-02C8-4B8B-86D0-3654D4919369}" name="paymentMethod" dataDxfId="197"/>
    <tableColumn id="12" xr3:uid="{85A4E086-C194-4979-9224-C8A8A2F5B505}" name="walletId" dataDxfId="196"/>
    <tableColumn id="13" xr3:uid="{13BA990A-0928-44BE-B54F-0F06F1F73C57}" name="notes" dataDxfId="19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EA468C-0A1D-45EE-A834-9BD1345750F8}" name="表格2" displayName="表格2" ref="A3:G7" totalsRowShown="0" headerRowDxfId="184" dataDxfId="185">
  <autoFilter ref="A3:G7" xr:uid="{BEEA468C-0A1D-45EE-A834-9BD1345750F8}"/>
  <tableColumns count="7">
    <tableColumn id="1" xr3:uid="{C6FC3A4F-57F0-4F68-8F7E-EC13D6F09184}" name="walletId" dataDxfId="192"/>
    <tableColumn id="2" xr3:uid="{88ADA210-BF7C-4AE9-9DAA-3A2B1FF0A503}" name="ownerUID" dataDxfId="191"/>
    <tableColumn id="3" xr3:uid="{EC16863E-52D2-44D5-98C1-1201F0B82B04}" name="currency" dataDxfId="190"/>
    <tableColumn id="4" xr3:uid="{9E013E3C-A2C1-456F-B1F8-5A9F6263B93C}" name="originalAmount" dataDxfId="189"/>
    <tableColumn id="5" xr3:uid="{0BC71354-07D3-4729-9A92-7E44A6D6DDF4}" name="balance" dataDxfId="188"/>
    <tableColumn id="6" xr3:uid="{1630A342-1CFB-4276-B586-37136622AE20}" name="rate" dataDxfId="187"/>
    <tableColumn id="7" xr3:uid="{16CBD07B-7784-47B6-B519-146181905482}" name="createdAt" dataDxfId="18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DBBE6C-7874-4134-8532-AAFA81E478F2}" name="表格3" displayName="表格3" ref="A3:L11" totalsRowCount="1" headerRowDxfId="178" dataDxfId="179">
  <autoFilter ref="A3:L10" xr:uid="{27DBBE6C-7874-4134-8532-AAFA81E478F2}"/>
  <sortState xmlns:xlrd2="http://schemas.microsoft.com/office/spreadsheetml/2017/richdata2" ref="A4:L10">
    <sortCondition ref="A4:A10"/>
  </sortState>
  <tableColumns count="12">
    <tableColumn id="1" xr3:uid="{619F6C20-F536-4695-B664-0F36CD3ED521}" name="日期" totalsRowLabel="合計" dataDxfId="183" totalsRowDxfId="177"/>
    <tableColumn id="2" xr3:uid="{A35B7C2A-7841-48F6-A1DE-91F6F9A17BD1}" name="屬性" dataDxfId="168" totalsRowDxfId="176"/>
    <tableColumn id="3" xr3:uid="{754BFCF6-6984-49F6-97BD-E86C6BA27F03}" name="類別" dataDxfId="167" totalsRowDxfId="166"/>
    <tableColumn id="4" xr3:uid="{A16CB546-86F0-41F0-8EC1-D1BB010CC82C}" name="描述" dataDxfId="165" totalsRowDxfId="175"/>
    <tableColumn id="5" xr3:uid="{CB43C87B-584F-4D59-97C0-C80950840555}" name="支付者" dataDxfId="163" totalsRowDxfId="162"/>
    <tableColumn id="6" xr3:uid="{E476B1B4-504B-406F-A853-B2E286443E3F}" name="方式" dataDxfId="164" totalsRowDxfId="174"/>
    <tableColumn id="7" xr3:uid="{7026BD9A-B150-4A6D-B15D-006510130FD8}" name="原幣" dataDxfId="182" totalsRowDxfId="173"/>
    <tableColumn id="8" xr3:uid="{D2F5502C-EAE0-483A-81AE-2628A98E0CE5}" name="原幣額" totalsRowFunction="sum" dataDxfId="181" totalsRowDxfId="171"/>
    <tableColumn id="9" xr3:uid="{03FA3317-C5EC-4934-8405-0C17E77BBABF}" name="匯率" dataDxfId="180" totalsRowDxfId="172"/>
    <tableColumn id="10" xr3:uid="{8B7E6A15-2986-46F9-90F9-E6845681F9D0}" name="台幣總額" totalsRowFunction="sum" dataDxfId="161" totalsRowDxfId="170"/>
    <tableColumn id="11" xr3:uid="{C192BEDE-A2B8-47BA-B6E2-0958CDE127FF}" name="分攤名單" dataDxfId="159" totalsRowDxfId="158"/>
    <tableColumn id="12" xr3:uid="{D576D83D-5E09-4BA8-94F7-D2370DA87BF8}" name="每人應攤" totalsRowFunction="sum" dataDxfId="160" totalsRowDxfId="16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E2EE9D-AB78-4F6C-A7CA-BFB04069B61C}" name="Tbl_Summary_Group_Details_N3" displayName="Tbl_Summary_Group_Details_N3" ref="N3:Q8" totalsRowCount="1" headerRowDxfId="157" dataDxfId="155" totalsRowDxfId="156">
  <autoFilter ref="N3:Q7" xr:uid="{7BE2EE9D-AB78-4F6C-A7CA-BFB04069B61C}"/>
  <tableColumns count="4">
    <tableColumn id="1" xr3:uid="{57C62BCF-FA5F-492B-AF6C-70A98D799A8E}" name="圖例" totalsRowLabel="合計" dataDxfId="153" totalsRowDxfId="154"/>
    <tableColumn id="2" xr3:uid="{F3D172BB-9D7A-43F1-9458-FA660477F4CA}" name="消費類別" dataDxfId="151" totalsRowDxfId="152"/>
    <tableColumn id="3" xr3:uid="{04FF0438-B9B9-4722-8AE0-8D6E9BE49E24}" name="總金額" totalsRowFunction="sum" dataDxfId="149" totalsRowDxfId="150"/>
    <tableColumn id="4" xr3:uid="{70CBF56E-74F3-40EE-A96B-B70A3E3B2218}" name="佔比 (%)" totalsRowFunction="sum" dataDxfId="148" totalsRowDxfId="14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6F86730-095A-40EA-9DDE-3BB85E9E115D}" name="表格5" displayName="表格5" ref="A4:F8" totalsRowCount="1" headerRowDxfId="142" dataDxfId="143">
  <autoFilter ref="A4:F7" xr:uid="{E6F86730-095A-40EA-9DDE-3BB85E9E115D}"/>
  <tableColumns count="6">
    <tableColumn id="1" xr3:uid="{6CE212A2-C020-4869-938D-EDD82C52D55F}" name="錢包ID" totalsRowLabel="合計" dataDxfId="146" totalsRowDxfId="141"/>
    <tableColumn id="2" xr3:uid="{B5CA2085-DF1C-47E0-A257-DCE0A1441B64}" name="幣別" dataDxfId="113" totalsRowDxfId="140"/>
    <tableColumn id="3" xr3:uid="{5EB96055-A494-4032-8A28-8D010868CB26}" name="初始額度" totalsRowFunction="sum" dataDxfId="111" totalsRowDxfId="110"/>
    <tableColumn id="4" xr3:uid="{465221CB-3F62-4EFF-85DC-E10D12FC4FA6}" name="本表記錄流出" totalsRowFunction="sum" dataDxfId="112" totalsRowDxfId="138"/>
    <tableColumn id="5" xr3:uid="{848E2756-D39F-496E-9A88-E3201F658A73}" name="結算估計剩餘" totalsRowFunction="sum" dataDxfId="145" totalsRowDxfId="137"/>
    <tableColumn id="6" xr3:uid="{4C60A3EA-CCD9-4571-8FAF-CB4DBAAC8CD3}" name="匯率" totalsRowFunction="sum" dataDxfId="144" totalsRowDxfId="1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51FD10-D0E2-478E-A983-0C301405A870}" name="表格6" displayName="表格6" ref="A11:E12" totalsRowShown="0" headerRowDxfId="134" dataDxfId="135">
  <autoFilter ref="A11:E12" xr:uid="{2851FD10-D0E2-478E-A983-0C301405A870}"/>
  <tableColumns count="5">
    <tableColumn id="1" xr3:uid="{F8FEF392-7E30-47E3-9D47-6A1EA6ADE19E}" name="總代墊(A)" dataDxfId="136"/>
    <tableColumn id="2" xr3:uid="{917FC900-08BB-407C-AED7-5FF278C51691}" name="應攤總負擔(B)" dataDxfId="109"/>
    <tableColumn id="3" xr3:uid="{A05CE519-AA5A-4AB6-B6A3-5C0D791A20B3}" name="公帳分回(C)" dataDxfId="107"/>
    <tableColumn id="4" xr3:uid="{8A97073B-BE6F-48F6-9A74-EE52C02539BB}" name="公款殘值退回(D)" dataDxfId="108"/>
    <tableColumn id="5" xr3:uid="{02F8571F-A64C-416D-A8AE-D0571B6840D7}" name="淨應收/補狀態" dataDxfId="1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889EA4-D665-4CD9-A8C2-3C454EC3892D}" name="表格7" displayName="表格7" ref="A15:K23" totalsRowCount="1" headerRowDxfId="123" dataDxfId="124">
  <autoFilter ref="A15:K22" xr:uid="{4C889EA4-D665-4CD9-A8C2-3C454EC3892D}"/>
  <sortState xmlns:xlrd2="http://schemas.microsoft.com/office/spreadsheetml/2017/richdata2" ref="A16:K22">
    <sortCondition ref="A16:A22"/>
  </sortState>
  <tableColumns count="11">
    <tableColumn id="1" xr3:uid="{13D5AB70-0BAC-49DF-9175-A0072F69F331}" name="日期" totalsRowLabel="合計" dataDxfId="132" totalsRowDxfId="122"/>
    <tableColumn id="2" xr3:uid="{DE5BD304-B4AB-4702-B5BF-E5D45477E8A8}" name="屬性"/>
    <tableColumn id="3" xr3:uid="{31D007E4-D41A-4B99-9C2D-A2BE6FFA9233}" name="類別" dataDxfId="105" totalsRowDxfId="104"/>
    <tableColumn id="4" xr3:uid="{D225DB94-2903-4D7A-872B-EFA8ABE564CF}" name="描述" dataDxfId="106" totalsRowDxfId="121"/>
    <tableColumn id="5" xr3:uid="{DA20CE46-4D9A-495E-B767-39F5F1BC424E}" name="方式" dataDxfId="131" totalsRowDxfId="120"/>
    <tableColumn id="6" xr3:uid="{A511CA86-F6AB-4063-B78B-9C1329E095A2}" name="原幣" dataDxfId="130" totalsRowDxfId="119"/>
    <tableColumn id="7" xr3:uid="{14521430-FF33-4228-9A5E-4C4D3CB1EC83}" name="原幣額" dataDxfId="129" totalsRowDxfId="118"/>
    <tableColumn id="8" xr3:uid="{0CDE0263-0CE2-4B16-BF65-9B897D81E625}" name="匯率" dataDxfId="128" totalsRowDxfId="117"/>
    <tableColumn id="9" xr3:uid="{396651EE-5832-47A5-B498-646B5E7B298B}" name="台幣總額" totalsRowFunction="sum" dataDxfId="127" totalsRowDxfId="116"/>
    <tableColumn id="10" xr3:uid="{E1C7DDCD-231D-4001-AA0D-C94651AE9E1E}" name="我的負擔" totalsRowFunction="sum" dataDxfId="126" totalsRowDxfId="115"/>
    <tableColumn id="11" xr3:uid="{CF68FF13-B750-4AB1-AD36-32331A8159BC}" name="代墊債權" totalsRowFunction="sum" dataDxfId="125" totalsRowDxfId="1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0CBBE2-2C05-4A31-BFAC-3C8CDF884135}" name="Tbl_Summary_PS_Smile_M15" displayName="Tbl_Summary_PS_Smile_M15" ref="M15:P19" totalsRowCount="1" headerRowDxfId="103" dataDxfId="101" totalsRowDxfId="102">
  <autoFilter ref="M15:P18" xr:uid="{950CBBE2-2C05-4A31-BFAC-3C8CDF884135}"/>
  <tableColumns count="4">
    <tableColumn id="1" xr3:uid="{E2000E82-FAD6-4476-9340-9EF57DF4ECF0}" name="圖例" totalsRowLabel="合計" dataDxfId="99" totalsRowDxfId="100"/>
    <tableColumn id="2" xr3:uid="{8F83C024-AB9D-4A9A-BAB3-6050E4736A34}" name="消費類別" dataDxfId="97" totalsRowDxfId="98"/>
    <tableColumn id="3" xr3:uid="{2632BB5E-6A14-4823-80C2-2AF0570DD524}" name="總金額" totalsRowFunction="sum" dataDxfId="95" totalsRowDxfId="96"/>
    <tableColumn id="4" xr3:uid="{F57F8372-ACF6-4E00-98F3-A2A9505471BF}" name="佔比 (%)" totalsRowFunction="sum" dataDxfId="94" totalsRowDxfId="9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9F5FB5-B8F7-43D2-AA43-393FFF97219B}" name="表格9" displayName="表格9" ref="A8:E9" totalsRowShown="0" headerRowDxfId="90" dataDxfId="91">
  <autoFilter ref="A8:E9" xr:uid="{469F5FB5-B8F7-43D2-AA43-393FFF97219B}"/>
  <tableColumns count="5">
    <tableColumn id="1" xr3:uid="{A3FF1755-2683-4F57-AC3C-3FA5A3EAABBA}" name="總代墊(A)" dataDxfId="92"/>
    <tableColumn id="2" xr3:uid="{AC060E87-9FAD-4190-B67F-B4FB9565D253}" name="應攤總負擔(B)" dataDxfId="68"/>
    <tableColumn id="3" xr3:uid="{1FD21D76-8021-4116-B983-5B98200BAEAF}" name="公帳分回(C)" dataDxfId="66"/>
    <tableColumn id="4" xr3:uid="{356289B6-FF8C-483D-A50B-C7CC379A622C}" name="公款殘值退回(D)" dataDxfId="67"/>
    <tableColumn id="5" xr3:uid="{69727D29-26C6-4862-A8B0-327AA9ECF908}" name="淨應收/補狀態" dataDxfId="8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EAA66B-3FFF-4EAC-84D5-1092B8533CA2}" name="表格10" displayName="表格10" ref="A12:K18" totalsRowCount="1" headerRowDxfId="79" dataDxfId="80">
  <autoFilter ref="A12:K17" xr:uid="{4CEAA66B-3FFF-4EAC-84D5-1092B8533CA2}"/>
  <sortState xmlns:xlrd2="http://schemas.microsoft.com/office/spreadsheetml/2017/richdata2" ref="A13:K17">
    <sortCondition ref="A13:A17"/>
  </sortState>
  <tableColumns count="11">
    <tableColumn id="1" xr3:uid="{A92ADDAD-168E-4937-AF7C-E8B0AE600ACD}" name="日期" totalsRowLabel="合計" dataDxfId="88" totalsRowDxfId="78"/>
    <tableColumn id="2" xr3:uid="{25BFE6AB-6DC9-4DAE-9333-FE3EEC576846}" name="屬性" dataDxfId="65" totalsRowDxfId="77"/>
    <tableColumn id="3" xr3:uid="{4672BECB-4FDC-4968-9FC6-98C18C67BD13}" name="類別" dataDxfId="63" totalsRowDxfId="62"/>
    <tableColumn id="4" xr3:uid="{49B139F0-0337-4823-83D7-5180891EBD5E}" name="描述" dataDxfId="64" totalsRowDxfId="76"/>
    <tableColumn id="5" xr3:uid="{EA4D5DCE-E7D8-4EAE-943C-2093707CAC7F}" name="方式" dataDxfId="87" totalsRowDxfId="75"/>
    <tableColumn id="6" xr3:uid="{355E366A-B4F4-47DC-BF7D-A39991426439}" name="原幣" dataDxfId="86" totalsRowDxfId="74"/>
    <tableColumn id="7" xr3:uid="{D6656491-663A-4B63-AC78-6F50E43155B5}" name="原幣額" dataDxfId="85" totalsRowDxfId="73"/>
    <tableColumn id="8" xr3:uid="{2F547D13-34FA-490F-BD7C-737A8FA44D6C}" name="匯率" dataDxfId="84" totalsRowDxfId="72"/>
    <tableColumn id="9" xr3:uid="{62873F6E-3652-4D40-95BE-7D8FBE40FF86}" name="台幣總額" totalsRowFunction="sum" dataDxfId="83" totalsRowDxfId="71"/>
    <tableColumn id="10" xr3:uid="{79DD050E-40BB-49FE-BF99-9B56FA89406F}" name="我的負擔" totalsRowFunction="sum" dataDxfId="82" totalsRowDxfId="70"/>
    <tableColumn id="11" xr3:uid="{E7908275-E729-4073-9F6B-F826C6D22542}" name="代墊債權" totalsRowFunction="sum" dataDxfId="81" totalsRowDxfId="6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E9FEE1-B17F-42C3-A64E-42B5D0B540AD}" name="Tbl_Summary_PS_Jiani_M12" displayName="Tbl_Summary_PS_Jiani_M12" ref="M12:P16" totalsRowCount="1" headerRowDxfId="61" dataDxfId="59" totalsRowDxfId="60">
  <autoFilter ref="M12:P15" xr:uid="{32E9FEE1-B17F-42C3-A64E-42B5D0B540AD}"/>
  <tableColumns count="4">
    <tableColumn id="1" xr3:uid="{037BF47B-5142-4B5D-B41B-217EE269792B}" name="圖例" totalsRowLabel="合計" dataDxfId="57" totalsRowDxfId="58"/>
    <tableColumn id="2" xr3:uid="{6C0981EF-A0EA-4DFC-9A72-D38AC115A5A6}" name="消費類別" dataDxfId="55" totalsRowDxfId="56"/>
    <tableColumn id="3" xr3:uid="{7720B47C-92E6-416F-8BE4-4D81ABA5B841}" name="總金額" totalsRowFunction="sum" dataDxfId="53" totalsRowDxfId="54"/>
    <tableColumn id="4" xr3:uid="{5DDAF834-742D-4D66-AF7B-3143421A04AF}" name="佔比 (%)" totalsRowFunction="sum" dataDxfId="52" totalsRowDxfId="5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05A0A0-F89F-4CA4-B8BA-62E4C346A7F7}" name="表格12" displayName="表格12" ref="A8:E9" totalsRowShown="0" headerRowDxfId="48" dataDxfId="49">
  <autoFilter ref="A8:E9" xr:uid="{5005A0A0-F89F-4CA4-B8BA-62E4C346A7F7}"/>
  <tableColumns count="5">
    <tableColumn id="1" xr3:uid="{58D16863-DA69-402D-BA82-17B8B1EBF0DB}" name="總代墊(A)" dataDxfId="50"/>
    <tableColumn id="2" xr3:uid="{23B2BD87-CDC7-4300-89B7-7C4EA218B2B8}" name="應攤總負擔(B)" dataDxfId="26"/>
    <tableColumn id="3" xr3:uid="{1A63A60F-C0D7-4225-81E9-1F3FB3422062}" name="公帳分回(C)" dataDxfId="24"/>
    <tableColumn id="4" xr3:uid="{714843A2-7A89-4DC4-8BAE-22F427DC0195}" name="公款殘值退回(D)" dataDxfId="25"/>
    <tableColumn id="5" xr3:uid="{A6758347-5FC2-4A8D-B1E9-EDA52460CD06}" name="淨應收/補狀態" dataDxfId="4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0D7F2D4-8F76-4D23-9DEE-8B0B579AB0AC}" name="表格13" displayName="表格13" ref="A12:K15" totalsRowCount="1" headerRowDxfId="37" dataDxfId="38">
  <autoFilter ref="A12:K14" xr:uid="{20D7F2D4-8F76-4D23-9DEE-8B0B579AB0AC}"/>
  <sortState xmlns:xlrd2="http://schemas.microsoft.com/office/spreadsheetml/2017/richdata2" ref="A13:K14">
    <sortCondition ref="A13:A14"/>
  </sortState>
  <tableColumns count="11">
    <tableColumn id="1" xr3:uid="{0B495009-071D-4181-B7C1-B7983796EFD4}" name="日期" totalsRowLabel="合計" dataDxfId="46" totalsRowDxfId="36"/>
    <tableColumn id="2" xr3:uid="{9F11E048-8FA1-417A-97EA-F038A91A05FB}" name="屬性" dataDxfId="23" totalsRowDxfId="35"/>
    <tableColumn id="3" xr3:uid="{8C374E70-739A-41DC-BCB5-C5F6230DCC52}" name="類別" dataDxfId="21" totalsRowDxfId="20"/>
    <tableColumn id="4" xr3:uid="{1DEB11E7-506A-4E15-A9F8-23D4CDA03B18}" name="描述" dataDxfId="22" totalsRowDxfId="34"/>
    <tableColumn id="5" xr3:uid="{40FE1ED5-F55E-477A-9163-CC63CBAD0FA5}" name="方式" dataDxfId="45" totalsRowDxfId="33"/>
    <tableColumn id="6" xr3:uid="{438B0034-275A-47CC-B3D0-D7D6F73AC651}" name="原幣" dataDxfId="44" totalsRowDxfId="32"/>
    <tableColumn id="7" xr3:uid="{392F50E4-AD5A-4DCD-A845-F82436DE7E7D}" name="原幣額" dataDxfId="43" totalsRowDxfId="31"/>
    <tableColumn id="8" xr3:uid="{A081C142-1D81-4230-9FDA-F30B7315F09C}" name="匯率" dataDxfId="42" totalsRowDxfId="30"/>
    <tableColumn id="9" xr3:uid="{70E9A7C9-FCF7-457D-8CDC-B929E69E063C}" name="台幣總額" totalsRowFunction="sum" dataDxfId="41" totalsRowDxfId="29"/>
    <tableColumn id="10" xr3:uid="{9C2C3E36-B13F-42A5-B92D-BB814BD80CBC}" name="我的負擔" totalsRowFunction="sum" dataDxfId="40" totalsRowDxfId="28"/>
    <tableColumn id="11" xr3:uid="{EB3B1A30-F188-4698-BB55-1F257DA34E80}" name="代墊債權" totalsRowFunction="sum" dataDxfId="39" totalsRowDxfId="2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4259C92-BCA8-4CC5-BD76-6BDA79A7C798}" name="Tbl_Summary_PS_Nomad_M12" displayName="Tbl_Summary_PS_Nomad_M12" ref="M12:P15" totalsRowCount="1" headerRowDxfId="19" dataDxfId="17" totalsRowDxfId="18">
  <autoFilter ref="M12:P14" xr:uid="{B4259C92-BCA8-4CC5-BD76-6BDA79A7C798}"/>
  <tableColumns count="4">
    <tableColumn id="1" xr3:uid="{491EAF08-A6C1-46F8-8363-49759F69D8EB}" name="圖例" totalsRowLabel="合計" dataDxfId="15" totalsRowDxfId="16"/>
    <tableColumn id="2" xr3:uid="{0893F990-6A9E-4DA4-BD60-6A5A145DCA08}" name="消費類別" dataDxfId="13" totalsRowDxfId="14"/>
    <tableColumn id="3" xr3:uid="{EE204F16-4C8C-4FB9-8A8B-F03BE449F096}" name="總金額" totalsRowFunction="sum" dataDxfId="11" totalsRowDxfId="12"/>
    <tableColumn id="4" xr3:uid="{0E61CD94-6197-4737-AF40-183FF02F5122}" name="佔比 (%)" totalsRowFunction="sum" dataDxfId="10" totalsRowDxfId="9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FD998B3-BF28-4A0B-8826-85114F0E47D1}" name="表格15" displayName="表格15" ref="B12:H15" totalsRowShown="0" headerRowDxfId="4" dataDxfId="5">
  <autoFilter ref="B12:H15" xr:uid="{AFD998B3-BF28-4A0B-8826-85114F0E47D1}"/>
  <tableColumns count="7">
    <tableColumn id="1" xr3:uid="{03D29A0B-AC8A-4C20-B7F9-C09AA6E8EBFD}" name="成員" dataDxfId="2"/>
    <tableColumn id="2" xr3:uid="{6727E704-4584-4C89-B2E0-7B544D2EEF84}" name="預繳/代墊(A)" dataDxfId="3"/>
    <tableColumn id="3" xr3:uid="{2CBA6AD3-D580-4BBE-9A1F-5B12AA204F0C}" name="應攤總額(B)" dataDxfId="8"/>
    <tableColumn id="4" xr3:uid="{7A377367-33D2-4763-A654-240D6958AD4F}" name="公帳分回(C)" dataDxfId="7"/>
    <tableColumn id="5" xr3:uid="{05EBA84D-A3B0-4870-90FB-0BAD49E0DF12}" name="公款殘值退回(D)" dataDxfId="6"/>
    <tableColumn id="6" xr3:uid="{5FF99079-EC6B-4ABA-A929-7CBB34DA1E5B}" name="最終應收/補" dataDxfId="1"/>
    <tableColumn id="7" xr3:uid="{7A64B01D-C322-415A-8B99-7D30F12E02FB}" name="狀態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A943-B5BD-4470-9C00-D50AD4B8F8BD}">
  <sheetPr codeName="工作表1"/>
  <dimension ref="A1:N10"/>
  <sheetViews>
    <sheetView workbookViewId="0"/>
  </sheetViews>
  <sheetFormatPr defaultRowHeight="16.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75</v>
      </c>
      <c r="B2" s="2">
        <v>46071.460416666669</v>
      </c>
      <c r="C2" t="s">
        <v>76</v>
      </c>
      <c r="D2" t="s">
        <v>74</v>
      </c>
      <c r="E2">
        <v>2000</v>
      </c>
      <c r="F2" t="s">
        <v>17</v>
      </c>
      <c r="G2">
        <v>33</v>
      </c>
      <c r="H2">
        <v>66000</v>
      </c>
      <c r="I2" t="s">
        <v>18</v>
      </c>
      <c r="J2" t="s">
        <v>19</v>
      </c>
      <c r="K2" t="s">
        <v>34</v>
      </c>
      <c r="L2" t="s">
        <v>73</v>
      </c>
      <c r="N2">
        <v>3</v>
      </c>
    </row>
    <row r="3" spans="1:14" x14ac:dyDescent="0.25">
      <c r="A3" t="s">
        <v>14</v>
      </c>
      <c r="B3" s="2">
        <v>46066.722916666666</v>
      </c>
      <c r="C3" t="s">
        <v>15</v>
      </c>
      <c r="D3" t="s">
        <v>16</v>
      </c>
      <c r="E3">
        <v>72</v>
      </c>
      <c r="F3" t="s">
        <v>17</v>
      </c>
      <c r="G3">
        <v>34.799999999999997</v>
      </c>
      <c r="H3">
        <v>2505.6</v>
      </c>
      <c r="I3" t="s">
        <v>18</v>
      </c>
      <c r="J3" t="s">
        <v>19</v>
      </c>
      <c r="K3" t="s">
        <v>20</v>
      </c>
      <c r="N3">
        <v>3</v>
      </c>
    </row>
    <row r="4" spans="1:14" x14ac:dyDescent="0.25">
      <c r="A4" t="s">
        <v>21</v>
      </c>
      <c r="B4" s="2">
        <v>46070.718055555553</v>
      </c>
      <c r="C4" t="s">
        <v>22</v>
      </c>
      <c r="D4" t="s">
        <v>23</v>
      </c>
      <c r="E4">
        <v>502</v>
      </c>
      <c r="F4" t="s">
        <v>24</v>
      </c>
      <c r="G4">
        <v>31.5</v>
      </c>
      <c r="H4">
        <v>15813</v>
      </c>
      <c r="I4" t="s">
        <v>25</v>
      </c>
      <c r="J4" t="s">
        <v>26</v>
      </c>
      <c r="K4" t="s">
        <v>20</v>
      </c>
      <c r="N4">
        <v>2</v>
      </c>
    </row>
    <row r="5" spans="1:14" x14ac:dyDescent="0.25">
      <c r="A5" t="s">
        <v>27</v>
      </c>
      <c r="B5" s="2">
        <v>46070.717361111114</v>
      </c>
      <c r="C5" t="s">
        <v>15</v>
      </c>
      <c r="D5" t="s">
        <v>28</v>
      </c>
      <c r="E5">
        <v>5001</v>
      </c>
      <c r="F5" t="s">
        <v>24</v>
      </c>
      <c r="G5">
        <v>31.5</v>
      </c>
      <c r="H5">
        <v>157531.5</v>
      </c>
      <c r="I5" t="s">
        <v>25</v>
      </c>
      <c r="J5" t="s">
        <v>26</v>
      </c>
      <c r="K5" t="s">
        <v>20</v>
      </c>
      <c r="N5">
        <v>2</v>
      </c>
    </row>
    <row r="6" spans="1:14" x14ac:dyDescent="0.25">
      <c r="A6" t="s">
        <v>29</v>
      </c>
      <c r="B6" s="2">
        <v>46063.490972222222</v>
      </c>
      <c r="C6" t="s">
        <v>30</v>
      </c>
      <c r="D6" t="s">
        <v>31</v>
      </c>
      <c r="E6">
        <v>400</v>
      </c>
      <c r="F6" t="s">
        <v>32</v>
      </c>
      <c r="G6">
        <v>0.33</v>
      </c>
      <c r="H6">
        <v>132</v>
      </c>
      <c r="I6" t="s">
        <v>33</v>
      </c>
      <c r="J6" t="s">
        <v>33</v>
      </c>
      <c r="K6" t="s">
        <v>34</v>
      </c>
      <c r="L6" t="s">
        <v>35</v>
      </c>
      <c r="N6">
        <v>1</v>
      </c>
    </row>
    <row r="7" spans="1:14" x14ac:dyDescent="0.25">
      <c r="A7" t="s">
        <v>36</v>
      </c>
      <c r="B7" s="2">
        <v>46063.490972222222</v>
      </c>
      <c r="C7" t="s">
        <v>15</v>
      </c>
      <c r="D7" t="s">
        <v>37</v>
      </c>
      <c r="E7">
        <v>500</v>
      </c>
      <c r="F7" t="s">
        <v>32</v>
      </c>
      <c r="G7">
        <v>0.33</v>
      </c>
      <c r="H7">
        <v>165</v>
      </c>
      <c r="I7" t="s">
        <v>33</v>
      </c>
      <c r="J7" t="s">
        <v>33</v>
      </c>
      <c r="K7" t="s">
        <v>34</v>
      </c>
      <c r="L7" t="s">
        <v>35</v>
      </c>
      <c r="N7">
        <v>1</v>
      </c>
    </row>
    <row r="8" spans="1:14" x14ac:dyDescent="0.25">
      <c r="A8" t="s">
        <v>38</v>
      </c>
      <c r="B8" s="2">
        <v>46063.490277777775</v>
      </c>
      <c r="C8" t="s">
        <v>15</v>
      </c>
      <c r="D8" t="s">
        <v>39</v>
      </c>
      <c r="E8">
        <v>700</v>
      </c>
      <c r="F8" t="s">
        <v>24</v>
      </c>
      <c r="G8">
        <v>40</v>
      </c>
      <c r="H8">
        <v>28000</v>
      </c>
      <c r="I8" t="s">
        <v>18</v>
      </c>
      <c r="J8" t="s">
        <v>26</v>
      </c>
      <c r="K8" t="s">
        <v>34</v>
      </c>
      <c r="L8" t="s">
        <v>40</v>
      </c>
      <c r="N8">
        <v>2</v>
      </c>
    </row>
    <row r="9" spans="1:14" x14ac:dyDescent="0.25">
      <c r="A9" t="s">
        <v>41</v>
      </c>
      <c r="B9" s="2">
        <v>46063.489583333336</v>
      </c>
      <c r="C9" t="s">
        <v>15</v>
      </c>
      <c r="D9" t="s">
        <v>42</v>
      </c>
      <c r="E9">
        <v>35</v>
      </c>
      <c r="F9" t="s">
        <v>24</v>
      </c>
      <c r="G9">
        <v>31.5</v>
      </c>
      <c r="H9">
        <v>1102.5</v>
      </c>
      <c r="I9" t="s">
        <v>18</v>
      </c>
      <c r="J9" t="s">
        <v>18</v>
      </c>
      <c r="K9" t="s">
        <v>20</v>
      </c>
      <c r="N9">
        <v>1</v>
      </c>
    </row>
    <row r="10" spans="1:14" x14ac:dyDescent="0.25">
      <c r="A10" t="s">
        <v>43</v>
      </c>
      <c r="B10" s="2">
        <v>46063.489583333336</v>
      </c>
      <c r="C10" t="s">
        <v>15</v>
      </c>
      <c r="D10" t="s">
        <v>44</v>
      </c>
      <c r="E10">
        <v>500</v>
      </c>
      <c r="F10" t="s">
        <v>24</v>
      </c>
      <c r="G10">
        <v>31.5</v>
      </c>
      <c r="H10">
        <v>15750</v>
      </c>
      <c r="I10" t="s">
        <v>18</v>
      </c>
      <c r="J10" t="s">
        <v>18</v>
      </c>
      <c r="K10" t="s">
        <v>20</v>
      </c>
      <c r="N10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7A8-9383-4447-9B30-99742E3380D8}">
  <sheetPr codeName="工作表2"/>
  <dimension ref="A1:G5"/>
  <sheetViews>
    <sheetView workbookViewId="0"/>
  </sheetViews>
  <sheetFormatPr defaultRowHeight="16.5" x14ac:dyDescent="0.25"/>
  <sheetData>
    <row r="1" spans="1:7" x14ac:dyDescent="0.25">
      <c r="A1" t="s">
        <v>11</v>
      </c>
      <c r="B1" t="s">
        <v>45</v>
      </c>
      <c r="C1" t="s">
        <v>5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5">
      <c r="A2" t="s">
        <v>40</v>
      </c>
      <c r="B2" t="s">
        <v>18</v>
      </c>
      <c r="C2" t="s">
        <v>24</v>
      </c>
      <c r="D2">
        <v>50000</v>
      </c>
      <c r="E2">
        <v>49300</v>
      </c>
      <c r="F2">
        <v>40</v>
      </c>
      <c r="G2" t="s">
        <v>50</v>
      </c>
    </row>
    <row r="3" spans="1:7" x14ac:dyDescent="0.25">
      <c r="A3" t="s">
        <v>35</v>
      </c>
      <c r="B3" t="s">
        <v>33</v>
      </c>
      <c r="C3" t="s">
        <v>32</v>
      </c>
      <c r="D3">
        <v>50000</v>
      </c>
      <c r="E3">
        <v>49100</v>
      </c>
      <c r="F3">
        <v>0.33</v>
      </c>
      <c r="G3" t="s">
        <v>51</v>
      </c>
    </row>
    <row r="4" spans="1:7" x14ac:dyDescent="0.25">
      <c r="A4" t="s">
        <v>72</v>
      </c>
      <c r="B4" t="s">
        <v>18</v>
      </c>
      <c r="C4" t="s">
        <v>32</v>
      </c>
      <c r="D4">
        <v>56000</v>
      </c>
      <c r="E4">
        <v>56000</v>
      </c>
      <c r="F4">
        <v>0.35</v>
      </c>
      <c r="G4" t="s">
        <v>77</v>
      </c>
    </row>
    <row r="5" spans="1:7" x14ac:dyDescent="0.25">
      <c r="A5" t="s">
        <v>73</v>
      </c>
      <c r="B5" t="s">
        <v>18</v>
      </c>
      <c r="C5" t="s">
        <v>17</v>
      </c>
      <c r="D5">
        <v>70000</v>
      </c>
      <c r="E5">
        <v>68000</v>
      </c>
      <c r="F5">
        <v>33</v>
      </c>
      <c r="G5" t="s">
        <v>78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0CAD-A4A1-4BC5-9FCF-F43116CC197F}">
  <sheetPr codeName="工作表39"/>
  <dimension ref="A1:E28"/>
  <sheetViews>
    <sheetView workbookViewId="0">
      <selection activeCell="B30" sqref="B30"/>
    </sheetView>
  </sheetViews>
  <sheetFormatPr defaultRowHeight="27" x14ac:dyDescent="0.25"/>
  <cols>
    <col min="1" max="1" width="14.125" style="16" customWidth="1"/>
    <col min="2" max="4" width="60.625" style="16" customWidth="1"/>
    <col min="5" max="16384" width="9" style="16"/>
  </cols>
  <sheetData>
    <row r="1" spans="1:5" x14ac:dyDescent="0.25">
      <c r="A1" s="20" t="s">
        <v>147</v>
      </c>
      <c r="B1" s="20"/>
      <c r="C1" s="20"/>
      <c r="D1" s="20"/>
    </row>
    <row r="2" spans="1:5" x14ac:dyDescent="0.25">
      <c r="A2" s="20" t="s">
        <v>148</v>
      </c>
      <c r="B2" s="20"/>
      <c r="C2" s="20"/>
      <c r="D2" s="20"/>
      <c r="E2" s="15"/>
    </row>
    <row r="3" spans="1:5" ht="27.75" thickBot="1" x14ac:dyDescent="0.3">
      <c r="A3" s="20" t="s">
        <v>115</v>
      </c>
      <c r="B3" s="20"/>
      <c r="C3" s="20"/>
      <c r="D3" s="20"/>
    </row>
    <row r="4" spans="1:5" ht="54.75" thickBot="1" x14ac:dyDescent="0.3">
      <c r="A4" s="17" t="s">
        <v>116</v>
      </c>
      <c r="B4" s="17" t="s">
        <v>117</v>
      </c>
      <c r="C4" s="17" t="s">
        <v>118</v>
      </c>
      <c r="D4" s="17" t="s">
        <v>119</v>
      </c>
    </row>
    <row r="5" spans="1:5" ht="81.75" thickBot="1" x14ac:dyDescent="0.3">
      <c r="A5" s="17" t="s">
        <v>108</v>
      </c>
      <c r="B5" s="18" t="s">
        <v>120</v>
      </c>
      <c r="C5" s="18" t="s">
        <v>121</v>
      </c>
      <c r="D5" s="18" t="s">
        <v>149</v>
      </c>
    </row>
    <row r="6" spans="1:5" ht="81.75" thickBot="1" x14ac:dyDescent="0.3">
      <c r="A6" s="17" t="s">
        <v>122</v>
      </c>
      <c r="B6" s="18" t="s">
        <v>123</v>
      </c>
      <c r="C6" s="18" t="s">
        <v>124</v>
      </c>
      <c r="D6" s="18" t="s">
        <v>150</v>
      </c>
    </row>
    <row r="7" spans="1:5" ht="54.75" thickBot="1" x14ac:dyDescent="0.3">
      <c r="A7" s="17" t="s">
        <v>110</v>
      </c>
      <c r="B7" s="18" t="s">
        <v>125</v>
      </c>
      <c r="C7" s="18" t="s">
        <v>126</v>
      </c>
      <c r="D7" s="18" t="s">
        <v>127</v>
      </c>
    </row>
    <row r="8" spans="1:5" ht="54.75" thickBot="1" x14ac:dyDescent="0.3">
      <c r="A8" s="17" t="s">
        <v>109</v>
      </c>
      <c r="B8" s="18" t="s">
        <v>128</v>
      </c>
      <c r="C8" s="18" t="s">
        <v>129</v>
      </c>
      <c r="D8" s="18" t="s">
        <v>130</v>
      </c>
    </row>
    <row r="9" spans="1:5" ht="54.75" thickBot="1" x14ac:dyDescent="0.3">
      <c r="A9" s="17" t="s">
        <v>131</v>
      </c>
      <c r="B9" s="18" t="s">
        <v>132</v>
      </c>
      <c r="C9" s="18" t="s">
        <v>133</v>
      </c>
      <c r="D9" s="18" t="s">
        <v>151</v>
      </c>
    </row>
    <row r="10" spans="1:5" ht="81.75" thickBot="1" x14ac:dyDescent="0.3">
      <c r="A10" s="17" t="s">
        <v>134</v>
      </c>
      <c r="B10" s="18" t="s">
        <v>135</v>
      </c>
      <c r="C10" s="18" t="s">
        <v>136</v>
      </c>
      <c r="D10" s="18" t="s">
        <v>137</v>
      </c>
    </row>
    <row r="11" spans="1:5" ht="54.75" thickBot="1" x14ac:dyDescent="0.3">
      <c r="A11" s="17" t="s">
        <v>138</v>
      </c>
      <c r="B11" s="18" t="s">
        <v>139</v>
      </c>
      <c r="C11" s="18" t="s">
        <v>140</v>
      </c>
      <c r="D11" s="18" t="s">
        <v>141</v>
      </c>
    </row>
    <row r="12" spans="1:5" ht="54.75" thickBot="1" x14ac:dyDescent="0.3">
      <c r="A12" s="17" t="s">
        <v>142</v>
      </c>
      <c r="B12" s="18" t="s">
        <v>143</v>
      </c>
      <c r="C12" s="18" t="s">
        <v>144</v>
      </c>
      <c r="D12" s="18" t="s">
        <v>145</v>
      </c>
    </row>
    <row r="14" spans="1:5" x14ac:dyDescent="0.25">
      <c r="A14" s="20" t="s">
        <v>146</v>
      </c>
      <c r="B14" s="20"/>
      <c r="C14" s="20"/>
      <c r="D14" s="20"/>
    </row>
    <row r="15" spans="1:5" x14ac:dyDescent="0.25">
      <c r="A15" s="20" t="s">
        <v>152</v>
      </c>
      <c r="B15" s="20"/>
      <c r="C15" s="20"/>
      <c r="D15" s="20"/>
    </row>
    <row r="16" spans="1:5" x14ac:dyDescent="0.25">
      <c r="A16" s="20" t="s">
        <v>153</v>
      </c>
      <c r="B16" s="20"/>
      <c r="C16" s="20"/>
      <c r="D16" s="20"/>
    </row>
    <row r="17" spans="1:4" x14ac:dyDescent="0.25">
      <c r="A17" s="20" t="s">
        <v>154</v>
      </c>
      <c r="B17" s="20"/>
      <c r="C17" s="20"/>
      <c r="D17" s="20"/>
    </row>
    <row r="18" spans="1:4" x14ac:dyDescent="0.25">
      <c r="A18" s="20" t="s">
        <v>155</v>
      </c>
      <c r="B18" s="20"/>
      <c r="C18" s="20"/>
      <c r="D18" s="20"/>
    </row>
    <row r="19" spans="1:4" ht="27.75" thickBot="1" x14ac:dyDescent="0.3">
      <c r="A19" s="20"/>
      <c r="B19" s="20"/>
      <c r="C19" s="20"/>
      <c r="D19" s="20"/>
    </row>
    <row r="20" spans="1:4" ht="27.75" thickBot="1" x14ac:dyDescent="0.3">
      <c r="A20" s="17" t="s">
        <v>156</v>
      </c>
      <c r="B20" s="18" t="s">
        <v>157</v>
      </c>
      <c r="C20" s="18" t="s">
        <v>158</v>
      </c>
    </row>
    <row r="21" spans="1:4" ht="27.75" thickBot="1" x14ac:dyDescent="0.3">
      <c r="A21" s="17" t="s">
        <v>108</v>
      </c>
      <c r="B21" s="18" t="s">
        <v>159</v>
      </c>
      <c r="C21" s="18" t="s">
        <v>174</v>
      </c>
    </row>
    <row r="22" spans="1:4" ht="27.75" thickBot="1" x14ac:dyDescent="0.3">
      <c r="A22" s="17" t="s">
        <v>122</v>
      </c>
      <c r="B22" s="18" t="s">
        <v>160</v>
      </c>
      <c r="C22" s="18" t="s">
        <v>161</v>
      </c>
    </row>
    <row r="23" spans="1:4" ht="27.75" thickBot="1" x14ac:dyDescent="0.3">
      <c r="A23" s="17" t="s">
        <v>110</v>
      </c>
      <c r="B23" s="18" t="s">
        <v>162</v>
      </c>
      <c r="C23" s="18" t="s">
        <v>163</v>
      </c>
    </row>
    <row r="24" spans="1:4" ht="27.75" thickBot="1" x14ac:dyDescent="0.3">
      <c r="A24" s="17" t="s">
        <v>109</v>
      </c>
      <c r="B24" s="18" t="s">
        <v>164</v>
      </c>
      <c r="C24" s="18" t="s">
        <v>165</v>
      </c>
    </row>
    <row r="25" spans="1:4" ht="27.75" thickBot="1" x14ac:dyDescent="0.3">
      <c r="A25" s="17" t="s">
        <v>131</v>
      </c>
      <c r="B25" s="18" t="s">
        <v>166</v>
      </c>
      <c r="C25" s="18" t="s">
        <v>173</v>
      </c>
    </row>
    <row r="26" spans="1:4" ht="27.75" thickBot="1" x14ac:dyDescent="0.3">
      <c r="A26" s="17" t="s">
        <v>134</v>
      </c>
      <c r="B26" s="18" t="s">
        <v>167</v>
      </c>
      <c r="C26" s="18" t="s">
        <v>168</v>
      </c>
    </row>
    <row r="27" spans="1:4" ht="27.75" thickBot="1" x14ac:dyDescent="0.3">
      <c r="A27" s="17" t="s">
        <v>138</v>
      </c>
      <c r="B27" s="18" t="s">
        <v>169</v>
      </c>
      <c r="C27" s="18" t="s">
        <v>170</v>
      </c>
    </row>
    <row r="28" spans="1:4" ht="27.75" thickBot="1" x14ac:dyDescent="0.3">
      <c r="A28" s="17" t="s">
        <v>142</v>
      </c>
      <c r="B28" s="18" t="s">
        <v>171</v>
      </c>
      <c r="C28" s="18" t="s">
        <v>172</v>
      </c>
    </row>
  </sheetData>
  <mergeCells count="9">
    <mergeCell ref="A16:D16"/>
    <mergeCell ref="A17:D17"/>
    <mergeCell ref="A18:D18"/>
    <mergeCell ref="A19:D19"/>
    <mergeCell ref="A1:D1"/>
    <mergeCell ref="A2:D2"/>
    <mergeCell ref="A3:D3"/>
    <mergeCell ref="A14:D14"/>
    <mergeCell ref="A15:D1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0E1D-E449-40C0-AEDB-381046B45B92}">
  <sheetPr codeName="工作表47"/>
  <dimension ref="A1:Z100"/>
  <sheetViews>
    <sheetView workbookViewId="0">
      <selection activeCell="L28" sqref="L28"/>
    </sheetView>
  </sheetViews>
  <sheetFormatPr defaultRowHeight="17.25" x14ac:dyDescent="0.25"/>
  <cols>
    <col min="1" max="2" width="9" style="1"/>
    <col min="3" max="3" width="93.125" style="1" bestFit="1" customWidth="1"/>
    <col min="4" max="16384" width="9" style="1"/>
  </cols>
  <sheetData>
    <row r="1" spans="1:26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38.25" x14ac:dyDescent="0.25">
      <c r="A3" s="10"/>
      <c r="B3" s="10"/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A294B-01A2-4B02-9F93-C6E2087F4A8E}">
  <sheetPr codeName="工作表3"/>
  <dimension ref="A3:M12"/>
  <sheetViews>
    <sheetView workbookViewId="0"/>
  </sheetViews>
  <sheetFormatPr defaultRowHeight="22.5" x14ac:dyDescent="0.25"/>
  <cols>
    <col min="1" max="1" width="16.625" style="3" customWidth="1"/>
    <col min="2" max="2" width="24.75" style="3" bestFit="1" customWidth="1"/>
    <col min="3" max="3" width="16" style="3" bestFit="1" customWidth="1"/>
    <col min="4" max="4" width="19.875" style="3" bestFit="1" customWidth="1"/>
    <col min="5" max="5" width="14" style="3" bestFit="1" customWidth="1"/>
    <col min="6" max="6" width="16" style="3" bestFit="1" customWidth="1"/>
    <col min="7" max="7" width="20.5" style="3" bestFit="1" customWidth="1"/>
    <col min="8" max="8" width="23.875" style="3" bestFit="1" customWidth="1"/>
    <col min="9" max="9" width="16.875" style="3" bestFit="1" customWidth="1"/>
    <col min="10" max="10" width="24.25" style="3" bestFit="1" customWidth="1"/>
    <col min="11" max="11" width="26.375" style="3" bestFit="1" customWidth="1"/>
    <col min="12" max="12" width="26.625" style="3" bestFit="1" customWidth="1"/>
    <col min="13" max="13" width="11.375" style="3" bestFit="1" customWidth="1"/>
    <col min="14" max="16384" width="9" style="3"/>
  </cols>
  <sheetData>
    <row r="3" spans="1:13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</row>
    <row r="4" spans="1:13" x14ac:dyDescent="0.25">
      <c r="A4" s="3" t="s">
        <v>75</v>
      </c>
      <c r="B4" s="4">
        <v>46071.460416666669</v>
      </c>
      <c r="C4" s="3" t="s">
        <v>138</v>
      </c>
      <c r="D4" s="3" t="s">
        <v>74</v>
      </c>
      <c r="E4" s="3">
        <v>2000</v>
      </c>
      <c r="F4" s="3" t="s">
        <v>17</v>
      </c>
      <c r="G4" s="3">
        <v>33</v>
      </c>
      <c r="H4" s="3">
        <v>66000</v>
      </c>
      <c r="I4" s="3" t="s">
        <v>18</v>
      </c>
      <c r="J4" s="3" t="s">
        <v>19</v>
      </c>
      <c r="K4" s="3" t="s">
        <v>34</v>
      </c>
      <c r="L4" s="3" t="s">
        <v>73</v>
      </c>
    </row>
    <row r="5" spans="1:13" x14ac:dyDescent="0.25">
      <c r="A5" s="3" t="s">
        <v>14</v>
      </c>
      <c r="B5" s="4">
        <v>46066.722916666666</v>
      </c>
      <c r="C5" s="3" t="s">
        <v>108</v>
      </c>
      <c r="D5" s="3" t="s">
        <v>16</v>
      </c>
      <c r="E5" s="3">
        <v>72</v>
      </c>
      <c r="F5" s="3" t="s">
        <v>17</v>
      </c>
      <c r="G5" s="3">
        <v>34.799999999999997</v>
      </c>
      <c r="H5" s="3">
        <v>2505.6</v>
      </c>
      <c r="I5" s="3" t="s">
        <v>18</v>
      </c>
      <c r="J5" s="3" t="s">
        <v>19</v>
      </c>
      <c r="K5" s="3" t="s">
        <v>20</v>
      </c>
    </row>
    <row r="6" spans="1:13" x14ac:dyDescent="0.25">
      <c r="A6" s="3" t="s">
        <v>21</v>
      </c>
      <c r="B6" s="4">
        <v>46070.718055555553</v>
      </c>
      <c r="C6" s="3" t="s">
        <v>175</v>
      </c>
      <c r="D6" s="3" t="s">
        <v>23</v>
      </c>
      <c r="E6" s="3">
        <v>502</v>
      </c>
      <c r="F6" s="3" t="s">
        <v>24</v>
      </c>
      <c r="G6" s="3">
        <v>31.5</v>
      </c>
      <c r="H6" s="3">
        <v>15813</v>
      </c>
      <c r="I6" s="3" t="s">
        <v>25</v>
      </c>
      <c r="J6" s="3" t="s">
        <v>26</v>
      </c>
      <c r="K6" s="3" t="s">
        <v>20</v>
      </c>
    </row>
    <row r="7" spans="1:13" x14ac:dyDescent="0.25">
      <c r="A7" s="3" t="s">
        <v>27</v>
      </c>
      <c r="B7" s="4">
        <v>46070.717361111114</v>
      </c>
      <c r="C7" s="3" t="s">
        <v>108</v>
      </c>
      <c r="D7" s="3" t="s">
        <v>28</v>
      </c>
      <c r="E7" s="3">
        <v>5001</v>
      </c>
      <c r="F7" s="3" t="s">
        <v>24</v>
      </c>
      <c r="G7" s="3">
        <v>31.5</v>
      </c>
      <c r="H7" s="3">
        <v>157531.5</v>
      </c>
      <c r="I7" s="3" t="s">
        <v>25</v>
      </c>
      <c r="J7" s="3" t="s">
        <v>26</v>
      </c>
      <c r="K7" s="3" t="s">
        <v>20</v>
      </c>
    </row>
    <row r="8" spans="1:13" x14ac:dyDescent="0.25">
      <c r="A8" s="3" t="s">
        <v>29</v>
      </c>
      <c r="B8" s="4">
        <v>46063.490972222222</v>
      </c>
      <c r="C8" s="3" t="s">
        <v>110</v>
      </c>
      <c r="D8" s="3" t="s">
        <v>31</v>
      </c>
      <c r="E8" s="3">
        <v>400</v>
      </c>
      <c r="F8" s="3" t="s">
        <v>32</v>
      </c>
      <c r="G8" s="3">
        <v>0.33</v>
      </c>
      <c r="H8" s="3">
        <v>132</v>
      </c>
      <c r="I8" s="3" t="s">
        <v>33</v>
      </c>
      <c r="J8" s="3" t="s">
        <v>33</v>
      </c>
      <c r="K8" s="3" t="s">
        <v>34</v>
      </c>
      <c r="L8" s="3" t="s">
        <v>35</v>
      </c>
    </row>
    <row r="9" spans="1:13" x14ac:dyDescent="0.25">
      <c r="A9" s="3" t="s">
        <v>36</v>
      </c>
      <c r="B9" s="4">
        <v>46063.490972222222</v>
      </c>
      <c r="C9" s="3" t="s">
        <v>108</v>
      </c>
      <c r="D9" s="3" t="s">
        <v>37</v>
      </c>
      <c r="E9" s="3">
        <v>500</v>
      </c>
      <c r="F9" s="3" t="s">
        <v>32</v>
      </c>
      <c r="G9" s="3">
        <v>0.33</v>
      </c>
      <c r="H9" s="3">
        <v>165</v>
      </c>
      <c r="I9" s="3" t="s">
        <v>33</v>
      </c>
      <c r="J9" s="3" t="s">
        <v>33</v>
      </c>
      <c r="K9" s="3" t="s">
        <v>34</v>
      </c>
      <c r="L9" s="3" t="s">
        <v>35</v>
      </c>
    </row>
    <row r="10" spans="1:13" x14ac:dyDescent="0.25">
      <c r="A10" s="3" t="s">
        <v>38</v>
      </c>
      <c r="B10" s="4">
        <v>46063.490277777775</v>
      </c>
      <c r="C10" s="3" t="s">
        <v>108</v>
      </c>
      <c r="D10" s="3" t="s">
        <v>39</v>
      </c>
      <c r="E10" s="3">
        <v>700</v>
      </c>
      <c r="F10" s="3" t="s">
        <v>24</v>
      </c>
      <c r="G10" s="3">
        <v>40</v>
      </c>
      <c r="H10" s="3">
        <v>28000</v>
      </c>
      <c r="I10" s="3" t="s">
        <v>18</v>
      </c>
      <c r="J10" s="3" t="s">
        <v>26</v>
      </c>
      <c r="K10" s="3" t="s">
        <v>34</v>
      </c>
      <c r="L10" s="3" t="s">
        <v>40</v>
      </c>
    </row>
    <row r="11" spans="1:13" x14ac:dyDescent="0.25">
      <c r="A11" s="3" t="s">
        <v>41</v>
      </c>
      <c r="B11" s="4">
        <v>46063.489583333336</v>
      </c>
      <c r="C11" s="3" t="s">
        <v>108</v>
      </c>
      <c r="D11" s="3" t="s">
        <v>42</v>
      </c>
      <c r="E11" s="3">
        <v>35</v>
      </c>
      <c r="F11" s="3" t="s">
        <v>24</v>
      </c>
      <c r="G11" s="3">
        <v>31.5</v>
      </c>
      <c r="H11" s="3">
        <v>1102.5</v>
      </c>
      <c r="I11" s="3" t="s">
        <v>18</v>
      </c>
      <c r="J11" s="3" t="s">
        <v>18</v>
      </c>
      <c r="K11" s="3" t="s">
        <v>20</v>
      </c>
    </row>
    <row r="12" spans="1:13" x14ac:dyDescent="0.25">
      <c r="A12" s="3" t="s">
        <v>43</v>
      </c>
      <c r="B12" s="4">
        <v>46063.489583333336</v>
      </c>
      <c r="C12" s="3" t="s">
        <v>108</v>
      </c>
      <c r="D12" s="3" t="s">
        <v>44</v>
      </c>
      <c r="E12" s="3">
        <v>500</v>
      </c>
      <c r="F12" s="3" t="s">
        <v>24</v>
      </c>
      <c r="G12" s="3">
        <v>31.5</v>
      </c>
      <c r="H12" s="3">
        <v>15750</v>
      </c>
      <c r="I12" s="3" t="s">
        <v>18</v>
      </c>
      <c r="J12" s="3" t="s">
        <v>18</v>
      </c>
      <c r="K12" s="3" t="s">
        <v>20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B318-4511-4521-B319-16C46772B9B5}">
  <sheetPr codeName="工作表4"/>
  <dimension ref="A3:G7"/>
  <sheetViews>
    <sheetView workbookViewId="0"/>
  </sheetViews>
  <sheetFormatPr defaultRowHeight="22.5" x14ac:dyDescent="0.25"/>
  <cols>
    <col min="1" max="1" width="16.625" style="3" customWidth="1"/>
    <col min="2" max="2" width="17.625" style="3" bestFit="1" customWidth="1"/>
    <col min="3" max="3" width="16" style="3" bestFit="1" customWidth="1"/>
    <col min="4" max="4" width="25.75" style="3" bestFit="1" customWidth="1"/>
    <col min="5" max="5" width="14.625" style="3" bestFit="1" customWidth="1"/>
    <col min="6" max="6" width="9.5" style="3" bestFit="1" customWidth="1"/>
    <col min="7" max="7" width="40" style="3" bestFit="1" customWidth="1"/>
    <col min="8" max="16384" width="9" style="3"/>
  </cols>
  <sheetData>
    <row r="3" spans="1:7" x14ac:dyDescent="0.25">
      <c r="A3" s="3" t="s">
        <v>11</v>
      </c>
      <c r="B3" s="3" t="s">
        <v>45</v>
      </c>
      <c r="C3" s="3" t="s">
        <v>5</v>
      </c>
      <c r="D3" s="3" t="s">
        <v>46</v>
      </c>
      <c r="E3" s="3" t="s">
        <v>47</v>
      </c>
      <c r="F3" s="3" t="s">
        <v>48</v>
      </c>
      <c r="G3" s="3" t="s">
        <v>49</v>
      </c>
    </row>
    <row r="4" spans="1:7" x14ac:dyDescent="0.25">
      <c r="A4" s="3" t="s">
        <v>40</v>
      </c>
      <c r="B4" s="3" t="s">
        <v>18</v>
      </c>
      <c r="C4" s="3" t="s">
        <v>24</v>
      </c>
      <c r="D4" s="3">
        <v>50000</v>
      </c>
      <c r="E4" s="3">
        <v>49300</v>
      </c>
      <c r="F4" s="3">
        <v>40</v>
      </c>
      <c r="G4" s="3" t="s">
        <v>50</v>
      </c>
    </row>
    <row r="5" spans="1:7" x14ac:dyDescent="0.25">
      <c r="A5" s="3" t="s">
        <v>35</v>
      </c>
      <c r="B5" s="3" t="s">
        <v>33</v>
      </c>
      <c r="C5" s="3" t="s">
        <v>32</v>
      </c>
      <c r="D5" s="3">
        <v>50000</v>
      </c>
      <c r="E5" s="3">
        <v>49100</v>
      </c>
      <c r="F5" s="3">
        <v>0.33</v>
      </c>
      <c r="G5" s="3" t="s">
        <v>51</v>
      </c>
    </row>
    <row r="6" spans="1:7" x14ac:dyDescent="0.25">
      <c r="A6" s="3" t="s">
        <v>72</v>
      </c>
      <c r="B6" s="3" t="s">
        <v>18</v>
      </c>
      <c r="C6" s="3" t="s">
        <v>32</v>
      </c>
      <c r="D6" s="3">
        <v>56000</v>
      </c>
      <c r="E6" s="3">
        <v>56000</v>
      </c>
      <c r="F6" s="3">
        <v>0.35</v>
      </c>
      <c r="G6" s="3" t="s">
        <v>77</v>
      </c>
    </row>
    <row r="7" spans="1:7" x14ac:dyDescent="0.25">
      <c r="A7" s="3" t="s">
        <v>73</v>
      </c>
      <c r="B7" s="3" t="s">
        <v>18</v>
      </c>
      <c r="C7" s="3" t="s">
        <v>17</v>
      </c>
      <c r="D7" s="3">
        <v>70000</v>
      </c>
      <c r="E7" s="3">
        <v>68000</v>
      </c>
      <c r="F7" s="3">
        <v>33</v>
      </c>
      <c r="G7" s="3" t="s">
        <v>78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D30F-C88E-494E-A689-E1A869B93B18}">
  <sheetPr codeName="工作表5"/>
  <dimension ref="A3:Q15"/>
  <sheetViews>
    <sheetView showGridLines="0" workbookViewId="0"/>
  </sheetViews>
  <sheetFormatPr defaultRowHeight="23.25" x14ac:dyDescent="0.25"/>
  <cols>
    <col min="1" max="1" width="16.625" style="3" customWidth="1"/>
    <col min="2" max="2" width="12.75" style="3" bestFit="1" customWidth="1"/>
    <col min="3" max="3" width="11.5" style="7" bestFit="1" customWidth="1"/>
    <col min="4" max="4" width="12.75" style="3" bestFit="1" customWidth="1"/>
    <col min="5" max="5" width="14.5" style="7" bestFit="1" customWidth="1"/>
    <col min="6" max="7" width="9.5" style="3" bestFit="1" customWidth="1"/>
    <col min="8" max="8" width="12.25" style="3" bestFit="1" customWidth="1"/>
    <col min="9" max="9" width="24.625" style="3" bestFit="1" customWidth="1"/>
    <col min="10" max="10" width="18.75" style="3" bestFit="1" customWidth="1"/>
    <col min="11" max="11" width="39.75" style="7" bestFit="1" customWidth="1"/>
    <col min="12" max="12" width="18.5" style="3" bestFit="1" customWidth="1"/>
    <col min="13" max="13" width="9" style="3"/>
    <col min="14" max="14" width="12.75" style="22" bestFit="1" customWidth="1"/>
    <col min="15" max="15" width="18" style="7" bestFit="1" customWidth="1"/>
    <col min="16" max="16" width="19.25" style="14" bestFit="1" customWidth="1"/>
    <col min="17" max="17" width="18.375" style="26" bestFit="1" customWidth="1"/>
    <col min="18" max="16384" width="9" style="3"/>
  </cols>
  <sheetData>
    <row r="3" spans="1:17" ht="39.950000000000003" customHeight="1" x14ac:dyDescent="0.25">
      <c r="A3" s="3" t="s">
        <v>52</v>
      </c>
      <c r="B3" s="3" t="s">
        <v>61</v>
      </c>
      <c r="C3" s="7" t="s">
        <v>79</v>
      </c>
      <c r="D3" s="3" t="s">
        <v>53</v>
      </c>
      <c r="E3" s="7" t="s">
        <v>80</v>
      </c>
      <c r="F3" s="3" t="s">
        <v>54</v>
      </c>
      <c r="G3" s="3" t="s">
        <v>55</v>
      </c>
      <c r="H3" s="3" t="s">
        <v>71</v>
      </c>
      <c r="I3" s="3" t="s">
        <v>56</v>
      </c>
      <c r="J3" s="3" t="s">
        <v>57</v>
      </c>
      <c r="K3" s="7" t="s">
        <v>81</v>
      </c>
      <c r="L3" s="3" t="s">
        <v>58</v>
      </c>
      <c r="N3" s="21" t="s">
        <v>178</v>
      </c>
      <c r="O3" s="23" t="s">
        <v>180</v>
      </c>
      <c r="P3" s="24" t="s">
        <v>82</v>
      </c>
      <c r="Q3" s="25" t="s">
        <v>83</v>
      </c>
    </row>
    <row r="4" spans="1:17" ht="39.950000000000003" customHeight="1" x14ac:dyDescent="0.25">
      <c r="A4" s="5">
        <v>46063</v>
      </c>
      <c r="B4" s="3" t="s">
        <v>66</v>
      </c>
      <c r="C4" s="7" t="s">
        <v>112</v>
      </c>
      <c r="D4" s="3" t="s">
        <v>31</v>
      </c>
      <c r="E4" s="7" t="s">
        <v>65</v>
      </c>
      <c r="F4" s="3" t="s">
        <v>34</v>
      </c>
      <c r="G4" s="3" t="s">
        <v>32</v>
      </c>
      <c r="H4" s="3">
        <v>400</v>
      </c>
      <c r="I4" s="3">
        <v>0.33</v>
      </c>
      <c r="J4" s="3">
        <v>132</v>
      </c>
      <c r="K4" s="7" t="s">
        <v>65</v>
      </c>
      <c r="L4" s="3">
        <v>132</v>
      </c>
      <c r="N4" s="27" t="s">
        <v>185</v>
      </c>
      <c r="O4" s="23" t="s">
        <v>181</v>
      </c>
      <c r="P4" s="24">
        <v>188202.1</v>
      </c>
      <c r="Q4" s="25">
        <v>0.69666526125951389</v>
      </c>
    </row>
    <row r="5" spans="1:17" ht="39.950000000000003" customHeight="1" x14ac:dyDescent="0.25">
      <c r="A5" s="5">
        <v>46063</v>
      </c>
      <c r="B5" s="3" t="s">
        <v>66</v>
      </c>
      <c r="C5" s="7" t="s">
        <v>111</v>
      </c>
      <c r="D5" s="3" t="s">
        <v>37</v>
      </c>
      <c r="E5" s="7" t="s">
        <v>65</v>
      </c>
      <c r="F5" s="3" t="s">
        <v>34</v>
      </c>
      <c r="G5" s="3" t="s">
        <v>32</v>
      </c>
      <c r="H5" s="3">
        <v>500</v>
      </c>
      <c r="I5" s="3">
        <v>0.33</v>
      </c>
      <c r="J5" s="3">
        <v>165</v>
      </c>
      <c r="K5" s="7" t="s">
        <v>65</v>
      </c>
      <c r="L5" s="3">
        <v>165</v>
      </c>
      <c r="N5" s="28" t="s">
        <v>186</v>
      </c>
      <c r="O5" s="23" t="s">
        <v>182</v>
      </c>
      <c r="P5" s="24">
        <v>66000</v>
      </c>
      <c r="Q5" s="25">
        <v>0.2443113400069814</v>
      </c>
    </row>
    <row r="6" spans="1:17" ht="39.950000000000003" customHeight="1" x14ac:dyDescent="0.25">
      <c r="A6" s="5">
        <v>46063</v>
      </c>
      <c r="B6" s="3" t="s">
        <v>62</v>
      </c>
      <c r="C6" s="7" t="s">
        <v>111</v>
      </c>
      <c r="D6" s="3" t="s">
        <v>39</v>
      </c>
      <c r="E6" s="7" t="s">
        <v>63</v>
      </c>
      <c r="F6" s="3" t="s">
        <v>34</v>
      </c>
      <c r="G6" s="3" t="s">
        <v>24</v>
      </c>
      <c r="H6" s="3">
        <v>700</v>
      </c>
      <c r="I6" s="3">
        <v>40</v>
      </c>
      <c r="J6" s="3">
        <v>28000</v>
      </c>
      <c r="K6" s="7" t="s">
        <v>107</v>
      </c>
      <c r="L6" s="3">
        <v>14000</v>
      </c>
      <c r="N6" s="29" t="s">
        <v>187</v>
      </c>
      <c r="O6" s="23" t="s">
        <v>183</v>
      </c>
      <c r="P6" s="24">
        <v>15813</v>
      </c>
      <c r="Q6" s="25">
        <v>5.8534776053490861E-2</v>
      </c>
    </row>
    <row r="7" spans="1:17" ht="39.950000000000003" customHeight="1" x14ac:dyDescent="0.25">
      <c r="A7" s="5">
        <v>46066</v>
      </c>
      <c r="B7" s="3" t="s">
        <v>62</v>
      </c>
      <c r="C7" s="7" t="s">
        <v>111</v>
      </c>
      <c r="D7" s="3" t="s">
        <v>16</v>
      </c>
      <c r="E7" s="7" t="s">
        <v>63</v>
      </c>
      <c r="F7" s="3" t="s">
        <v>20</v>
      </c>
      <c r="G7" s="3" t="s">
        <v>17</v>
      </c>
      <c r="H7" s="3">
        <v>72</v>
      </c>
      <c r="I7" s="3">
        <v>34.799999999999997</v>
      </c>
      <c r="J7" s="3">
        <v>2505.6</v>
      </c>
      <c r="K7" s="7" t="s">
        <v>106</v>
      </c>
      <c r="L7" s="3">
        <v>835.19999999999993</v>
      </c>
      <c r="N7" s="30" t="s">
        <v>188</v>
      </c>
      <c r="O7" s="23" t="s">
        <v>184</v>
      </c>
      <c r="P7" s="24">
        <v>132</v>
      </c>
      <c r="Q7" s="25">
        <v>4.8862268001396275E-4</v>
      </c>
    </row>
    <row r="8" spans="1:17" ht="39.950000000000003" customHeight="1" x14ac:dyDescent="0.25">
      <c r="A8" s="5">
        <v>46070</v>
      </c>
      <c r="B8" s="3" t="s">
        <v>62</v>
      </c>
      <c r="C8" s="7" t="s">
        <v>176</v>
      </c>
      <c r="D8" s="3" t="s">
        <v>23</v>
      </c>
      <c r="E8" s="7" t="s">
        <v>105</v>
      </c>
      <c r="F8" s="3" t="s">
        <v>20</v>
      </c>
      <c r="G8" s="3" t="s">
        <v>24</v>
      </c>
      <c r="H8" s="3">
        <v>502</v>
      </c>
      <c r="I8" s="3">
        <v>31.5</v>
      </c>
      <c r="J8" s="3">
        <v>15813</v>
      </c>
      <c r="K8" s="7" t="s">
        <v>107</v>
      </c>
      <c r="L8" s="3">
        <v>7906.5</v>
      </c>
      <c r="N8" s="21" t="s">
        <v>179</v>
      </c>
      <c r="O8" s="23"/>
      <c r="P8" s="24">
        <f>SUBTOTAL(109,Tbl_Summary_Group_Details_N3[總金額])</f>
        <v>270147.09999999998</v>
      </c>
      <c r="Q8" s="25">
        <f>SUBTOTAL(109,Tbl_Summary_Group_Details_N3[佔比 (%)])</f>
        <v>1.0000000000000002</v>
      </c>
    </row>
    <row r="9" spans="1:17" x14ac:dyDescent="0.25">
      <c r="A9" s="5">
        <v>46070</v>
      </c>
      <c r="B9" s="3" t="s">
        <v>62</v>
      </c>
      <c r="C9" s="7" t="s">
        <v>111</v>
      </c>
      <c r="D9" s="3" t="s">
        <v>28</v>
      </c>
      <c r="E9" s="7" t="s">
        <v>105</v>
      </c>
      <c r="F9" s="3" t="s">
        <v>20</v>
      </c>
      <c r="G9" s="3" t="s">
        <v>24</v>
      </c>
      <c r="H9" s="3">
        <v>5001</v>
      </c>
      <c r="I9" s="3">
        <v>31.5</v>
      </c>
      <c r="J9" s="3">
        <v>157531.5</v>
      </c>
      <c r="K9" s="7" t="s">
        <v>107</v>
      </c>
      <c r="L9" s="3">
        <v>78765.75</v>
      </c>
    </row>
    <row r="10" spans="1:17" x14ac:dyDescent="0.25">
      <c r="A10" s="5">
        <v>46071</v>
      </c>
      <c r="B10" s="3" t="s">
        <v>62</v>
      </c>
      <c r="C10" s="7" t="s">
        <v>177</v>
      </c>
      <c r="D10" s="3" t="s">
        <v>74</v>
      </c>
      <c r="E10" s="7" t="s">
        <v>63</v>
      </c>
      <c r="F10" s="3" t="s">
        <v>34</v>
      </c>
      <c r="G10" s="3" t="s">
        <v>17</v>
      </c>
      <c r="H10" s="3">
        <v>2000</v>
      </c>
      <c r="I10" s="3">
        <v>33</v>
      </c>
      <c r="J10" s="3">
        <v>66000</v>
      </c>
      <c r="K10" s="7" t="s">
        <v>106</v>
      </c>
      <c r="L10" s="3">
        <v>22000</v>
      </c>
    </row>
    <row r="11" spans="1:17" x14ac:dyDescent="0.25">
      <c r="A11" s="3" t="s">
        <v>59</v>
      </c>
      <c r="H11" s="3">
        <f>SUBTOTAL(109,表格3[原幣額])</f>
        <v>9175</v>
      </c>
      <c r="J11" s="3">
        <f>SUBTOTAL(109,表格3[台幣總額])</f>
        <v>270147.09999999998</v>
      </c>
      <c r="L11" s="3">
        <f>SUBTOTAL(109,表格3[每人應攤])</f>
        <v>123804.45</v>
      </c>
    </row>
    <row r="13" spans="1:17" ht="31.5" x14ac:dyDescent="0.25">
      <c r="I13" s="6" t="s">
        <v>67</v>
      </c>
      <c r="J13" s="6">
        <v>900</v>
      </c>
    </row>
    <row r="14" spans="1:17" ht="31.5" x14ac:dyDescent="0.25">
      <c r="I14" s="6" t="s">
        <v>68</v>
      </c>
      <c r="J14" s="6">
        <v>6203</v>
      </c>
    </row>
    <row r="15" spans="1:17" ht="31.5" x14ac:dyDescent="0.25">
      <c r="I15" s="6" t="s">
        <v>69</v>
      </c>
      <c r="J15" s="6">
        <v>68505.600000000006</v>
      </c>
    </row>
  </sheetData>
  <sortState xmlns:xlrd2="http://schemas.microsoft.com/office/spreadsheetml/2017/richdata2" ref="N4:Q7">
    <sortCondition descending="1" ref="P3"/>
  </sortState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5E994-66D1-418D-96A5-749FDB26D5B9}">
  <sheetPr codeName="工作表6"/>
  <dimension ref="A3:P23"/>
  <sheetViews>
    <sheetView topLeftCell="A11"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5.125" style="3" bestFit="1" customWidth="1"/>
    <col min="6" max="6" width="10.75" style="3" bestFit="1" customWidth="1"/>
    <col min="7" max="7" width="12.25" style="3" bestFit="1" customWidth="1"/>
    <col min="8" max="8" width="9.5" style="3" bestFit="1" customWidth="1"/>
    <col min="9" max="9" width="16.625" style="3" bestFit="1" customWidth="1"/>
    <col min="10" max="10" width="18.5" style="3" bestFit="1" customWidth="1"/>
    <col min="11" max="11" width="15.25" style="3" bestFit="1" customWidth="1"/>
    <col min="12" max="12" width="9" style="3"/>
    <col min="13" max="13" width="12.75" style="22" bestFit="1" customWidth="1"/>
    <col min="14" max="14" width="18" style="7" bestFit="1" customWidth="1"/>
    <col min="15" max="15" width="19.25" style="14" bestFit="1" customWidth="1"/>
    <col min="16" max="16" width="18.375" style="26" bestFit="1" customWidth="1"/>
    <col min="17" max="16384" width="9" style="3"/>
  </cols>
  <sheetData>
    <row r="3" spans="1:16" ht="31.5" x14ac:dyDescent="0.25">
      <c r="A3" s="19" t="s">
        <v>84</v>
      </c>
    </row>
    <row r="4" spans="1:16" x14ac:dyDescent="0.25">
      <c r="A4" s="3" t="s">
        <v>70</v>
      </c>
      <c r="B4" s="3" t="s">
        <v>60</v>
      </c>
      <c r="C4" s="7" t="s">
        <v>96</v>
      </c>
      <c r="D4" s="3" t="s">
        <v>85</v>
      </c>
      <c r="E4" s="3" t="s">
        <v>86</v>
      </c>
      <c r="F4" s="3" t="s">
        <v>56</v>
      </c>
    </row>
    <row r="5" spans="1:16" x14ac:dyDescent="0.25">
      <c r="A5" s="3" t="s">
        <v>40</v>
      </c>
      <c r="B5" s="3" t="s">
        <v>24</v>
      </c>
      <c r="C5" s="7">
        <v>50000</v>
      </c>
      <c r="D5" s="3">
        <v>700</v>
      </c>
      <c r="E5" s="3">
        <v>49300</v>
      </c>
      <c r="F5" s="3">
        <v>40</v>
      </c>
    </row>
    <row r="6" spans="1:16" x14ac:dyDescent="0.25">
      <c r="A6" s="3" t="s">
        <v>72</v>
      </c>
      <c r="B6" s="3" t="s">
        <v>32</v>
      </c>
      <c r="C6" s="7">
        <v>56000</v>
      </c>
      <c r="D6" s="3">
        <v>0</v>
      </c>
      <c r="E6" s="3">
        <v>56000</v>
      </c>
      <c r="F6" s="3">
        <v>0.35</v>
      </c>
    </row>
    <row r="7" spans="1:16" x14ac:dyDescent="0.25">
      <c r="A7" s="3" t="s">
        <v>73</v>
      </c>
      <c r="B7" s="3" t="s">
        <v>17</v>
      </c>
      <c r="C7" s="7">
        <v>70000</v>
      </c>
      <c r="D7" s="3">
        <v>2000</v>
      </c>
      <c r="E7" s="3">
        <v>68000</v>
      </c>
      <c r="F7" s="3">
        <v>33</v>
      </c>
    </row>
    <row r="8" spans="1:16" x14ac:dyDescent="0.25">
      <c r="A8" s="3" t="s">
        <v>59</v>
      </c>
      <c r="C8" s="7">
        <f>SUBTOTAL(109,表格5[初始額度])</f>
        <v>176000</v>
      </c>
      <c r="D8" s="3">
        <f>SUBTOTAL(109,表格5[本表記錄流出])</f>
        <v>2700</v>
      </c>
      <c r="E8" s="3">
        <f>SUBTOTAL(109,表格5[結算估計剩餘])</f>
        <v>173300</v>
      </c>
      <c r="F8" s="3">
        <f>SUBTOTAL(109,表格5[匯率])</f>
        <v>73.349999999999994</v>
      </c>
    </row>
    <row r="10" spans="1:16" ht="31.5" x14ac:dyDescent="0.25">
      <c r="A10" s="19" t="s">
        <v>113</v>
      </c>
    </row>
    <row r="11" spans="1:16" x14ac:dyDescent="0.25">
      <c r="A11" s="3" t="s">
        <v>87</v>
      </c>
      <c r="B11" s="3" t="s">
        <v>88</v>
      </c>
      <c r="C11" s="7" t="s">
        <v>97</v>
      </c>
      <c r="D11" s="3" t="s">
        <v>90</v>
      </c>
      <c r="E11" s="3" t="s">
        <v>91</v>
      </c>
    </row>
    <row r="12" spans="1:16" x14ac:dyDescent="0.25">
      <c r="A12" s="3">
        <v>96505.600000000006</v>
      </c>
      <c r="B12" s="3">
        <v>140359.95000000001</v>
      </c>
      <c r="C12" s="7">
        <v>0</v>
      </c>
      <c r="D12" s="3">
        <v>5401</v>
      </c>
      <c r="E12" s="8" t="s">
        <v>189</v>
      </c>
    </row>
    <row r="14" spans="1:16" ht="31.5" x14ac:dyDescent="0.25">
      <c r="A14" s="19" t="s">
        <v>114</v>
      </c>
    </row>
    <row r="15" spans="1:16" ht="39.950000000000003" customHeight="1" x14ac:dyDescent="0.25">
      <c r="A15" s="3" t="s">
        <v>52</v>
      </c>
      <c r="B15" s="3" t="s">
        <v>61</v>
      </c>
      <c r="C15" s="7" t="s">
        <v>79</v>
      </c>
      <c r="D15" s="3" t="s">
        <v>53</v>
      </c>
      <c r="E15" s="3" t="s">
        <v>54</v>
      </c>
      <c r="F15" s="3" t="s">
        <v>55</v>
      </c>
      <c r="G15" s="3" t="s">
        <v>71</v>
      </c>
      <c r="H15" s="3" t="s">
        <v>56</v>
      </c>
      <c r="I15" s="3" t="s">
        <v>57</v>
      </c>
      <c r="J15" s="3" t="s">
        <v>92</v>
      </c>
      <c r="K15" s="3" t="s">
        <v>93</v>
      </c>
      <c r="M15" s="21" t="s">
        <v>178</v>
      </c>
      <c r="N15" s="23" t="s">
        <v>180</v>
      </c>
      <c r="O15" s="24" t="s">
        <v>82</v>
      </c>
      <c r="P15" s="25" t="s">
        <v>83</v>
      </c>
    </row>
    <row r="16" spans="1:16" ht="39.950000000000003" customHeight="1" x14ac:dyDescent="0.25">
      <c r="A16" s="5">
        <v>46063</v>
      </c>
      <c r="B16" s="12" t="s">
        <v>62</v>
      </c>
      <c r="C16" s="7" t="s">
        <v>111</v>
      </c>
      <c r="D16" s="3" t="s">
        <v>39</v>
      </c>
      <c r="E16" s="3" t="s">
        <v>34</v>
      </c>
      <c r="F16" s="3" t="s">
        <v>24</v>
      </c>
      <c r="G16" s="3">
        <v>700</v>
      </c>
      <c r="H16" s="3">
        <v>40</v>
      </c>
      <c r="I16" s="3">
        <v>28000</v>
      </c>
      <c r="J16" s="3">
        <v>14000</v>
      </c>
      <c r="K16" s="3">
        <v>14000</v>
      </c>
      <c r="M16" s="27" t="s">
        <v>185</v>
      </c>
      <c r="N16" s="23" t="s">
        <v>181</v>
      </c>
      <c r="O16" s="24">
        <v>110453.45</v>
      </c>
      <c r="P16" s="25">
        <v>0.78692996114632408</v>
      </c>
    </row>
    <row r="17" spans="1:16" ht="39.950000000000003" customHeight="1" x14ac:dyDescent="0.25">
      <c r="A17" s="5">
        <v>46063</v>
      </c>
      <c r="B17" s="13" t="s">
        <v>95</v>
      </c>
      <c r="C17" s="7" t="s">
        <v>111</v>
      </c>
      <c r="D17" s="3" t="s">
        <v>42</v>
      </c>
      <c r="E17" s="3" t="s">
        <v>20</v>
      </c>
      <c r="F17" s="3" t="s">
        <v>24</v>
      </c>
      <c r="G17" s="3">
        <v>35</v>
      </c>
      <c r="H17" s="3">
        <v>31.5</v>
      </c>
      <c r="I17" s="3">
        <v>1102.5</v>
      </c>
      <c r="J17" s="3">
        <v>1102.5</v>
      </c>
      <c r="K17" s="3">
        <v>0</v>
      </c>
      <c r="M17" s="28" t="s">
        <v>186</v>
      </c>
      <c r="N17" s="23" t="s">
        <v>182</v>
      </c>
      <c r="O17" s="24">
        <v>22000</v>
      </c>
      <c r="P17" s="25">
        <v>0.1567398677471743</v>
      </c>
    </row>
    <row r="18" spans="1:16" ht="39.950000000000003" customHeight="1" x14ac:dyDescent="0.25">
      <c r="A18" s="5">
        <v>46063</v>
      </c>
      <c r="B18" s="13" t="s">
        <v>95</v>
      </c>
      <c r="C18" s="7" t="s">
        <v>111</v>
      </c>
      <c r="D18" s="3" t="s">
        <v>44</v>
      </c>
      <c r="E18" s="3" t="s">
        <v>20</v>
      </c>
      <c r="F18" s="3" t="s">
        <v>24</v>
      </c>
      <c r="G18" s="3">
        <v>500</v>
      </c>
      <c r="H18" s="3">
        <v>31.5</v>
      </c>
      <c r="I18" s="3">
        <v>15750</v>
      </c>
      <c r="J18" s="3">
        <v>15750</v>
      </c>
      <c r="K18" s="3">
        <v>0</v>
      </c>
      <c r="M18" s="29" t="s">
        <v>187</v>
      </c>
      <c r="N18" s="23" t="s">
        <v>183</v>
      </c>
      <c r="O18" s="24">
        <v>7906.5</v>
      </c>
      <c r="P18" s="25">
        <v>5.6330171106501528E-2</v>
      </c>
    </row>
    <row r="19" spans="1:16" ht="39.950000000000003" customHeight="1" x14ac:dyDescent="0.25">
      <c r="A19" s="5">
        <v>46066</v>
      </c>
      <c r="B19" s="12" t="s">
        <v>62</v>
      </c>
      <c r="C19" s="7" t="s">
        <v>111</v>
      </c>
      <c r="D19" s="3" t="s">
        <v>16</v>
      </c>
      <c r="E19" s="3" t="s">
        <v>20</v>
      </c>
      <c r="F19" s="3" t="s">
        <v>17</v>
      </c>
      <c r="G19" s="3">
        <v>72</v>
      </c>
      <c r="H19" s="3">
        <v>34.799999999999997</v>
      </c>
      <c r="I19" s="3">
        <v>2505.6</v>
      </c>
      <c r="J19" s="3">
        <v>835.19999999999993</v>
      </c>
      <c r="K19" s="3">
        <v>1670.4</v>
      </c>
      <c r="M19" s="21" t="s">
        <v>179</v>
      </c>
      <c r="N19" s="23"/>
      <c r="O19" s="24">
        <f>SUBTOTAL(109,Tbl_Summary_PS_Smile_M15[總金額])</f>
        <v>140359.95000000001</v>
      </c>
      <c r="P19" s="25">
        <f>SUBTOTAL(109,Tbl_Summary_PS_Smile_M15[佔比 (%)])</f>
        <v>0.99999999999999989</v>
      </c>
    </row>
    <row r="20" spans="1:16" x14ac:dyDescent="0.25">
      <c r="A20" s="5">
        <v>46070</v>
      </c>
      <c r="B20" s="3" t="s">
        <v>94</v>
      </c>
      <c r="C20" s="7" t="s">
        <v>176</v>
      </c>
      <c r="D20" s="3" t="s">
        <v>23</v>
      </c>
      <c r="E20" s="3" t="s">
        <v>20</v>
      </c>
      <c r="F20" s="3" t="s">
        <v>24</v>
      </c>
      <c r="G20" s="3">
        <v>502</v>
      </c>
      <c r="H20" s="3">
        <v>31.5</v>
      </c>
      <c r="I20" s="3">
        <v>15813</v>
      </c>
      <c r="J20" s="3">
        <v>7906.5</v>
      </c>
      <c r="K20" s="3">
        <v>0</v>
      </c>
    </row>
    <row r="21" spans="1:16" x14ac:dyDescent="0.25">
      <c r="A21" s="5">
        <v>46070</v>
      </c>
      <c r="B21" s="3" t="s">
        <v>94</v>
      </c>
      <c r="C21" s="7" t="s">
        <v>111</v>
      </c>
      <c r="D21" s="3" t="s">
        <v>28</v>
      </c>
      <c r="E21" s="3" t="s">
        <v>20</v>
      </c>
      <c r="F21" s="3" t="s">
        <v>24</v>
      </c>
      <c r="G21" s="3">
        <v>5001</v>
      </c>
      <c r="H21" s="3">
        <v>31.5</v>
      </c>
      <c r="I21" s="3">
        <v>157531.5</v>
      </c>
      <c r="J21" s="3">
        <v>78765.75</v>
      </c>
      <c r="K21" s="3">
        <v>0</v>
      </c>
    </row>
    <row r="22" spans="1:16" x14ac:dyDescent="0.25">
      <c r="A22" s="5">
        <v>46071</v>
      </c>
      <c r="B22" s="12" t="s">
        <v>62</v>
      </c>
      <c r="C22" s="7" t="s">
        <v>177</v>
      </c>
      <c r="D22" s="3" t="s">
        <v>74</v>
      </c>
      <c r="E22" s="3" t="s">
        <v>34</v>
      </c>
      <c r="F22" s="3" t="s">
        <v>17</v>
      </c>
      <c r="G22" s="3">
        <v>2000</v>
      </c>
      <c r="H22" s="3">
        <v>33</v>
      </c>
      <c r="I22" s="3">
        <v>66000</v>
      </c>
      <c r="J22" s="3">
        <v>22000</v>
      </c>
      <c r="K22" s="3">
        <v>44000</v>
      </c>
    </row>
    <row r="23" spans="1:16" x14ac:dyDescent="0.25">
      <c r="A23" s="3" t="s">
        <v>59</v>
      </c>
      <c r="B23"/>
      <c r="I23" s="3">
        <f>SUBTOTAL(109,表格7[台幣總額])</f>
        <v>286702.59999999998</v>
      </c>
      <c r="J23" s="3">
        <f>SUBTOTAL(109,表格7[我的負擔])</f>
        <v>140359.95000000001</v>
      </c>
      <c r="K23" s="3">
        <f>SUBTOTAL(109,表格7[代墊債權])</f>
        <v>59670.400000000001</v>
      </c>
    </row>
  </sheetData>
  <sortState xmlns:xlrd2="http://schemas.microsoft.com/office/spreadsheetml/2017/richdata2" ref="M16:P18">
    <sortCondition descending="1" ref="O15"/>
  </sortState>
  <phoneticPr fontId="1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244BB-C07A-438B-9C8E-1A2609285411}">
  <sheetPr codeName="工作表7"/>
  <dimension ref="A3:P18"/>
  <sheetViews>
    <sheetView topLeftCell="H11"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5.125" style="3" bestFit="1" customWidth="1"/>
    <col min="6" max="6" width="9.5" style="3" bestFit="1" customWidth="1"/>
    <col min="7" max="7" width="12.25" style="3" bestFit="1" customWidth="1"/>
    <col min="8" max="8" width="9.5" style="3" bestFit="1" customWidth="1"/>
    <col min="9" max="9" width="16.625" style="3" bestFit="1" customWidth="1"/>
    <col min="10" max="10" width="18.5" style="3" bestFit="1" customWidth="1"/>
    <col min="11" max="11" width="16.625" style="3" bestFit="1" customWidth="1"/>
    <col min="12" max="12" width="9" style="3"/>
    <col min="13" max="13" width="12.75" style="22" bestFit="1" customWidth="1"/>
    <col min="14" max="14" width="18" style="7" bestFit="1" customWidth="1"/>
    <col min="15" max="15" width="19.25" style="14" bestFit="1" customWidth="1"/>
    <col min="16" max="16" width="18.375" style="26" bestFit="1" customWidth="1"/>
    <col min="17" max="16384" width="9" style="3"/>
  </cols>
  <sheetData>
    <row r="3" spans="1:16" ht="31.5" x14ac:dyDescent="0.25">
      <c r="A3" s="19" t="s">
        <v>84</v>
      </c>
    </row>
    <row r="4" spans="1:16" x14ac:dyDescent="0.25">
      <c r="A4" s="3" t="s">
        <v>70</v>
      </c>
      <c r="B4" s="3" t="s">
        <v>60</v>
      </c>
      <c r="C4" s="7" t="s">
        <v>96</v>
      </c>
      <c r="D4" s="3" t="s">
        <v>85</v>
      </c>
      <c r="E4" s="3" t="s">
        <v>86</v>
      </c>
      <c r="F4" s="3" t="s">
        <v>56</v>
      </c>
    </row>
    <row r="7" spans="1:16" ht="31.5" x14ac:dyDescent="0.25">
      <c r="A7" s="19" t="s">
        <v>113</v>
      </c>
    </row>
    <row r="8" spans="1:16" x14ac:dyDescent="0.25">
      <c r="A8" s="3" t="s">
        <v>87</v>
      </c>
      <c r="B8" s="3" t="s">
        <v>88</v>
      </c>
      <c r="C8" s="7" t="s">
        <v>97</v>
      </c>
      <c r="D8" s="3" t="s">
        <v>90</v>
      </c>
      <c r="E8" s="3" t="s">
        <v>91</v>
      </c>
    </row>
    <row r="9" spans="1:16" x14ac:dyDescent="0.25">
      <c r="A9" s="3">
        <v>173344.5</v>
      </c>
      <c r="B9" s="3">
        <v>123507.45</v>
      </c>
      <c r="C9" s="7">
        <v>0</v>
      </c>
      <c r="D9" s="3">
        <v>5401</v>
      </c>
      <c r="E9" s="9" t="s">
        <v>190</v>
      </c>
    </row>
    <row r="11" spans="1:16" ht="31.5" x14ac:dyDescent="0.25">
      <c r="A11" s="19" t="s">
        <v>114</v>
      </c>
    </row>
    <row r="12" spans="1:16" ht="39.950000000000003" customHeight="1" x14ac:dyDescent="0.25">
      <c r="A12" s="3" t="s">
        <v>52</v>
      </c>
      <c r="B12" s="3" t="s">
        <v>61</v>
      </c>
      <c r="C12" s="7" t="s">
        <v>79</v>
      </c>
      <c r="D12" s="3" t="s">
        <v>53</v>
      </c>
      <c r="E12" s="3" t="s">
        <v>54</v>
      </c>
      <c r="F12" s="3" t="s">
        <v>55</v>
      </c>
      <c r="G12" s="3" t="s">
        <v>71</v>
      </c>
      <c r="H12" s="3" t="s">
        <v>56</v>
      </c>
      <c r="I12" s="3" t="s">
        <v>57</v>
      </c>
      <c r="J12" s="3" t="s">
        <v>92</v>
      </c>
      <c r="K12" s="3" t="s">
        <v>93</v>
      </c>
      <c r="M12" s="21" t="s">
        <v>178</v>
      </c>
      <c r="N12" s="23" t="s">
        <v>180</v>
      </c>
      <c r="O12" s="24" t="s">
        <v>82</v>
      </c>
      <c r="P12" s="25" t="s">
        <v>83</v>
      </c>
    </row>
    <row r="13" spans="1:16" ht="39.950000000000003" customHeight="1" x14ac:dyDescent="0.25">
      <c r="A13" s="5">
        <v>46063</v>
      </c>
      <c r="B13" s="3" t="s">
        <v>94</v>
      </c>
      <c r="C13" s="7" t="s">
        <v>111</v>
      </c>
      <c r="D13" s="3" t="s">
        <v>39</v>
      </c>
      <c r="E13" s="3" t="s">
        <v>34</v>
      </c>
      <c r="F13" s="3" t="s">
        <v>24</v>
      </c>
      <c r="G13" s="3">
        <v>700</v>
      </c>
      <c r="H13" s="3">
        <v>40</v>
      </c>
      <c r="I13" s="3">
        <v>28000</v>
      </c>
      <c r="J13" s="3">
        <v>14000</v>
      </c>
      <c r="K13" s="3">
        <v>0</v>
      </c>
      <c r="M13" s="27" t="s">
        <v>185</v>
      </c>
      <c r="N13" s="23" t="s">
        <v>181</v>
      </c>
      <c r="O13" s="24">
        <v>93600.95</v>
      </c>
      <c r="P13" s="25">
        <v>0.75785671228739637</v>
      </c>
    </row>
    <row r="14" spans="1:16" ht="39.950000000000003" customHeight="1" x14ac:dyDescent="0.25">
      <c r="A14" s="5">
        <v>46066</v>
      </c>
      <c r="B14" s="3" t="s">
        <v>94</v>
      </c>
      <c r="C14" s="7" t="s">
        <v>111</v>
      </c>
      <c r="D14" s="3" t="s">
        <v>16</v>
      </c>
      <c r="E14" s="3" t="s">
        <v>20</v>
      </c>
      <c r="F14" s="3" t="s">
        <v>17</v>
      </c>
      <c r="G14" s="3">
        <v>72</v>
      </c>
      <c r="H14" s="3">
        <v>34.799999999999997</v>
      </c>
      <c r="I14" s="3">
        <v>2505.6</v>
      </c>
      <c r="J14" s="3">
        <v>835.19999999999993</v>
      </c>
      <c r="K14" s="3">
        <v>0</v>
      </c>
      <c r="M14" s="28" t="s">
        <v>186</v>
      </c>
      <c r="N14" s="23" t="s">
        <v>182</v>
      </c>
      <c r="O14" s="24">
        <v>22000</v>
      </c>
      <c r="P14" s="25">
        <v>0.1781269065145463</v>
      </c>
    </row>
    <row r="15" spans="1:16" ht="39.950000000000003" customHeight="1" x14ac:dyDescent="0.25">
      <c r="A15" s="5">
        <v>46070</v>
      </c>
      <c r="B15" s="12" t="s">
        <v>62</v>
      </c>
      <c r="C15" s="7" t="s">
        <v>176</v>
      </c>
      <c r="D15" s="3" t="s">
        <v>23</v>
      </c>
      <c r="E15" s="3" t="s">
        <v>20</v>
      </c>
      <c r="F15" s="3" t="s">
        <v>24</v>
      </c>
      <c r="G15" s="3">
        <v>502</v>
      </c>
      <c r="H15" s="3">
        <v>31.5</v>
      </c>
      <c r="I15" s="3">
        <v>15813</v>
      </c>
      <c r="J15" s="3">
        <v>7906.5</v>
      </c>
      <c r="K15" s="3">
        <v>7906.5</v>
      </c>
      <c r="M15" s="29" t="s">
        <v>187</v>
      </c>
      <c r="N15" s="23" t="s">
        <v>183</v>
      </c>
      <c r="O15" s="24">
        <v>7906.5</v>
      </c>
      <c r="P15" s="25">
        <v>6.401638119805729E-2</v>
      </c>
    </row>
    <row r="16" spans="1:16" ht="39.950000000000003" customHeight="1" x14ac:dyDescent="0.25">
      <c r="A16" s="5">
        <v>46070</v>
      </c>
      <c r="B16" s="12" t="s">
        <v>62</v>
      </c>
      <c r="C16" s="7" t="s">
        <v>111</v>
      </c>
      <c r="D16" s="3" t="s">
        <v>28</v>
      </c>
      <c r="E16" s="3" t="s">
        <v>20</v>
      </c>
      <c r="F16" s="3" t="s">
        <v>24</v>
      </c>
      <c r="G16" s="3">
        <v>5001</v>
      </c>
      <c r="H16" s="3">
        <v>31.5</v>
      </c>
      <c r="I16" s="3">
        <v>157531.5</v>
      </c>
      <c r="J16" s="3">
        <v>78765.75</v>
      </c>
      <c r="K16" s="3">
        <v>78765.75</v>
      </c>
      <c r="M16" s="21" t="s">
        <v>179</v>
      </c>
      <c r="N16" s="23"/>
      <c r="O16" s="24">
        <f>SUBTOTAL(109,Tbl_Summary_PS_Jiani_M12[總金額])</f>
        <v>123507.45</v>
      </c>
      <c r="P16" s="25">
        <f>SUBTOTAL(109,Tbl_Summary_PS_Jiani_M12[佔比 (%)])</f>
        <v>1</v>
      </c>
    </row>
    <row r="17" spans="1:11" x14ac:dyDescent="0.25">
      <c r="A17" s="5">
        <v>46071</v>
      </c>
      <c r="B17" s="3" t="s">
        <v>94</v>
      </c>
      <c r="C17" s="7" t="s">
        <v>177</v>
      </c>
      <c r="D17" s="3" t="s">
        <v>74</v>
      </c>
      <c r="E17" s="3" t="s">
        <v>34</v>
      </c>
      <c r="F17" s="3" t="s">
        <v>17</v>
      </c>
      <c r="G17" s="3">
        <v>2000</v>
      </c>
      <c r="H17" s="3">
        <v>33</v>
      </c>
      <c r="I17" s="3">
        <v>66000</v>
      </c>
      <c r="J17" s="3">
        <v>22000</v>
      </c>
      <c r="K17" s="3">
        <v>0</v>
      </c>
    </row>
    <row r="18" spans="1:11" x14ac:dyDescent="0.25">
      <c r="A18" s="3" t="s">
        <v>59</v>
      </c>
      <c r="I18" s="3">
        <f>SUBTOTAL(109,表格10[台幣總額])</f>
        <v>269850.09999999998</v>
      </c>
      <c r="J18" s="3">
        <f>SUBTOTAL(109,表格10[我的負擔])</f>
        <v>123507.45</v>
      </c>
      <c r="K18" s="3">
        <f>SUBTOTAL(109,表格10[代墊債權])</f>
        <v>86672.25</v>
      </c>
    </row>
  </sheetData>
  <sortState xmlns:xlrd2="http://schemas.microsoft.com/office/spreadsheetml/2017/richdata2" ref="M13:P15">
    <sortCondition descending="1" ref="O12"/>
  </sortState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8FE46-4D88-4ABB-A35F-86B47384A286}">
  <sheetPr codeName="工作表8"/>
  <dimension ref="A3:P15"/>
  <sheetViews>
    <sheetView topLeftCell="J11"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5.125" style="3" bestFit="1" customWidth="1"/>
    <col min="6" max="6" width="9.5" style="3" bestFit="1" customWidth="1"/>
    <col min="7" max="7" width="12.25" style="3" bestFit="1" customWidth="1"/>
    <col min="8" max="8" width="9.5" style="3" bestFit="1" customWidth="1"/>
    <col min="9" max="11" width="15.25" style="3" bestFit="1" customWidth="1"/>
    <col min="12" max="12" width="9" style="3"/>
    <col min="13" max="13" width="12.75" style="22" bestFit="1" customWidth="1"/>
    <col min="14" max="14" width="18" style="7" bestFit="1" customWidth="1"/>
    <col min="15" max="15" width="16.875" style="14" bestFit="1" customWidth="1"/>
    <col min="16" max="16" width="18.375" style="26" bestFit="1" customWidth="1"/>
    <col min="17" max="16384" width="9" style="3"/>
  </cols>
  <sheetData>
    <row r="3" spans="1:16" ht="31.5" x14ac:dyDescent="0.25">
      <c r="A3" s="19" t="s">
        <v>84</v>
      </c>
    </row>
    <row r="4" spans="1:16" x14ac:dyDescent="0.25">
      <c r="A4" s="3" t="s">
        <v>70</v>
      </c>
      <c r="B4" s="3" t="s">
        <v>60</v>
      </c>
      <c r="C4" s="7" t="s">
        <v>96</v>
      </c>
      <c r="D4" s="3" t="s">
        <v>85</v>
      </c>
      <c r="E4" s="3" t="s">
        <v>86</v>
      </c>
      <c r="F4" s="3" t="s">
        <v>56</v>
      </c>
    </row>
    <row r="7" spans="1:16" ht="31.5" x14ac:dyDescent="0.25">
      <c r="A7" s="19" t="s">
        <v>113</v>
      </c>
    </row>
    <row r="8" spans="1:16" x14ac:dyDescent="0.25">
      <c r="A8" s="3" t="s">
        <v>87</v>
      </c>
      <c r="B8" s="3" t="s">
        <v>88</v>
      </c>
      <c r="C8" s="7" t="s">
        <v>97</v>
      </c>
      <c r="D8" s="3" t="s">
        <v>90</v>
      </c>
      <c r="E8" s="3" t="s">
        <v>91</v>
      </c>
    </row>
    <row r="9" spans="1:16" x14ac:dyDescent="0.25">
      <c r="A9" s="3">
        <v>0</v>
      </c>
      <c r="B9" s="3">
        <v>22835.200000000001</v>
      </c>
      <c r="C9" s="7">
        <v>0</v>
      </c>
      <c r="D9" s="3">
        <v>5401</v>
      </c>
      <c r="E9" s="8" t="s">
        <v>191</v>
      </c>
    </row>
    <row r="11" spans="1:16" ht="31.5" x14ac:dyDescent="0.25">
      <c r="A11" s="19" t="s">
        <v>114</v>
      </c>
    </row>
    <row r="12" spans="1:16" ht="39.950000000000003" customHeight="1" x14ac:dyDescent="0.25">
      <c r="A12" s="3" t="s">
        <v>52</v>
      </c>
      <c r="B12" s="3" t="s">
        <v>61</v>
      </c>
      <c r="C12" s="7" t="s">
        <v>79</v>
      </c>
      <c r="D12" s="3" t="s">
        <v>53</v>
      </c>
      <c r="E12" s="3" t="s">
        <v>54</v>
      </c>
      <c r="F12" s="3" t="s">
        <v>55</v>
      </c>
      <c r="G12" s="3" t="s">
        <v>71</v>
      </c>
      <c r="H12" s="3" t="s">
        <v>56</v>
      </c>
      <c r="I12" s="3" t="s">
        <v>57</v>
      </c>
      <c r="J12" s="3" t="s">
        <v>92</v>
      </c>
      <c r="K12" s="3" t="s">
        <v>93</v>
      </c>
      <c r="M12" s="21" t="s">
        <v>178</v>
      </c>
      <c r="N12" s="23" t="s">
        <v>180</v>
      </c>
      <c r="O12" s="24" t="s">
        <v>82</v>
      </c>
      <c r="P12" s="25" t="s">
        <v>83</v>
      </c>
    </row>
    <row r="13" spans="1:16" ht="39.950000000000003" customHeight="1" x14ac:dyDescent="0.25">
      <c r="A13" s="5">
        <v>46066</v>
      </c>
      <c r="B13" s="3" t="s">
        <v>94</v>
      </c>
      <c r="C13" s="7" t="s">
        <v>111</v>
      </c>
      <c r="D13" s="3" t="s">
        <v>16</v>
      </c>
      <c r="E13" s="3" t="s">
        <v>20</v>
      </c>
      <c r="F13" s="3" t="s">
        <v>17</v>
      </c>
      <c r="G13" s="3">
        <v>72</v>
      </c>
      <c r="H13" s="3">
        <v>34.799999999999997</v>
      </c>
      <c r="I13" s="3">
        <v>2505.6</v>
      </c>
      <c r="J13" s="3">
        <v>835.19999999999993</v>
      </c>
      <c r="K13" s="3">
        <v>0</v>
      </c>
      <c r="M13" s="27" t="s">
        <v>185</v>
      </c>
      <c r="N13" s="23" t="s">
        <v>182</v>
      </c>
      <c r="O13" s="24">
        <v>22000</v>
      </c>
      <c r="P13" s="25">
        <v>0.96342488789237668</v>
      </c>
    </row>
    <row r="14" spans="1:16" ht="39.950000000000003" customHeight="1" x14ac:dyDescent="0.25">
      <c r="A14" s="5">
        <v>46071</v>
      </c>
      <c r="B14" s="3" t="s">
        <v>94</v>
      </c>
      <c r="C14" s="7" t="s">
        <v>177</v>
      </c>
      <c r="D14" s="3" t="s">
        <v>74</v>
      </c>
      <c r="E14" s="3" t="s">
        <v>34</v>
      </c>
      <c r="F14" s="3" t="s">
        <v>17</v>
      </c>
      <c r="G14" s="3">
        <v>2000</v>
      </c>
      <c r="H14" s="3">
        <v>33</v>
      </c>
      <c r="I14" s="3">
        <v>66000</v>
      </c>
      <c r="J14" s="3">
        <v>22000</v>
      </c>
      <c r="K14" s="3">
        <v>0</v>
      </c>
      <c r="M14" s="28" t="s">
        <v>186</v>
      </c>
      <c r="N14" s="23" t="s">
        <v>181</v>
      </c>
      <c r="O14" s="24">
        <v>835.19999999999993</v>
      </c>
      <c r="P14" s="25">
        <v>3.6575112107623313E-2</v>
      </c>
    </row>
    <row r="15" spans="1:16" ht="39.950000000000003" customHeight="1" x14ac:dyDescent="0.25">
      <c r="A15" s="3" t="s">
        <v>59</v>
      </c>
      <c r="I15" s="3">
        <f>SUBTOTAL(109,表格13[台幣總額])</f>
        <v>68505.600000000006</v>
      </c>
      <c r="J15" s="3">
        <f>SUBTOTAL(109,表格13[我的負擔])</f>
        <v>22835.200000000001</v>
      </c>
      <c r="K15" s="3">
        <f>SUBTOTAL(109,表格13[代墊債權])</f>
        <v>0</v>
      </c>
      <c r="M15" s="21" t="s">
        <v>179</v>
      </c>
      <c r="N15" s="23"/>
      <c r="O15" s="24">
        <f>SUBTOTAL(109,Tbl_Summary_PS_Nomad_M12[總金額])</f>
        <v>22835.200000000001</v>
      </c>
      <c r="P15" s="25">
        <f>SUBTOTAL(109,Tbl_Summary_PS_Nomad_M12[佔比 (%)])</f>
        <v>1</v>
      </c>
    </row>
  </sheetData>
  <sortState xmlns:xlrd2="http://schemas.microsoft.com/office/spreadsheetml/2017/richdata2" ref="M13:P14">
    <sortCondition descending="1" ref="O12"/>
  </sortState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636C-91C8-4AEC-AA87-85825D128123}">
  <sheetPr codeName="工作表9"/>
  <dimension ref="B12:H15"/>
  <sheetViews>
    <sheetView showGridLines="0" tabSelected="1" workbookViewId="0"/>
  </sheetViews>
  <sheetFormatPr defaultRowHeight="23.25" x14ac:dyDescent="0.25"/>
  <cols>
    <col min="1" max="1" width="16.625" style="3" customWidth="1"/>
    <col min="2" max="2" width="15.25" style="7" bestFit="1" customWidth="1"/>
    <col min="3" max="3" width="20.625" style="3" bestFit="1" customWidth="1"/>
    <col min="4" max="4" width="19.625" style="3" bestFit="1" customWidth="1"/>
    <col min="5" max="5" width="19.75" style="3" bestFit="1" customWidth="1"/>
    <col min="6" max="6" width="25.75" style="3" bestFit="1" customWidth="1"/>
    <col min="7" max="7" width="19.375" style="3" bestFit="1" customWidth="1"/>
    <col min="8" max="8" width="11.5" style="7" bestFit="1" customWidth="1"/>
    <col min="9" max="16384" width="9" style="3"/>
  </cols>
  <sheetData>
    <row r="12" spans="2:8" x14ac:dyDescent="0.25">
      <c r="B12" s="7" t="s">
        <v>101</v>
      </c>
      <c r="C12" s="3" t="s">
        <v>98</v>
      </c>
      <c r="D12" s="3" t="s">
        <v>99</v>
      </c>
      <c r="E12" s="3" t="s">
        <v>89</v>
      </c>
      <c r="F12" s="3" t="s">
        <v>90</v>
      </c>
      <c r="G12" s="3" t="s">
        <v>100</v>
      </c>
      <c r="H12" s="7" t="s">
        <v>102</v>
      </c>
    </row>
    <row r="13" spans="2:8" x14ac:dyDescent="0.25">
      <c r="B13" s="7" t="s">
        <v>63</v>
      </c>
      <c r="C13" s="3">
        <v>96505.600000000006</v>
      </c>
      <c r="D13" s="3">
        <v>140359.95000000001</v>
      </c>
      <c r="E13" s="3">
        <v>0</v>
      </c>
      <c r="F13" s="3">
        <v>5401</v>
      </c>
      <c r="G13" s="3">
        <v>-38453.350000000006</v>
      </c>
      <c r="H13" s="8" t="s">
        <v>103</v>
      </c>
    </row>
    <row r="14" spans="2:8" x14ac:dyDescent="0.25">
      <c r="B14" s="7" t="s">
        <v>105</v>
      </c>
      <c r="C14" s="3">
        <v>173344.5</v>
      </c>
      <c r="D14" s="3">
        <v>123507.45</v>
      </c>
      <c r="E14" s="3">
        <v>0</v>
      </c>
      <c r="F14" s="3">
        <v>5401</v>
      </c>
      <c r="G14" s="3">
        <v>55238.05</v>
      </c>
      <c r="H14" s="9" t="s">
        <v>104</v>
      </c>
    </row>
    <row r="15" spans="2:8" x14ac:dyDescent="0.25">
      <c r="B15" s="7" t="s">
        <v>64</v>
      </c>
      <c r="C15" s="3">
        <v>0</v>
      </c>
      <c r="D15" s="3">
        <v>22835.200000000001</v>
      </c>
      <c r="E15" s="3">
        <v>0</v>
      </c>
      <c r="F15" s="3">
        <v>5401</v>
      </c>
      <c r="G15" s="3">
        <v>-17434.2</v>
      </c>
      <c r="H15" s="8" t="s">
        <v>103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Sys_DB_Expenses</vt:lpstr>
      <vt:lpstr>Sys_DB_Wallets</vt:lpstr>
      <vt:lpstr>記帳分類指南</vt:lpstr>
      <vt:lpstr>指揮中心</vt:lpstr>
      <vt:lpstr>Raw_Expenses</vt:lpstr>
      <vt:lpstr>Raw_Wallets</vt:lpstr>
      <vt:lpstr>Group_Details</vt:lpstr>
      <vt:lpstr>PS_Smile</vt:lpstr>
      <vt:lpstr>PS_Jiani</vt:lpstr>
      <vt:lpstr>PS_Nomad</vt:lpstr>
      <vt:lpstr>Group_Summary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Yang</dc:creator>
  <cp:lastModifiedBy>Smile Yang</cp:lastModifiedBy>
  <cp:lastPrinted>2026-02-22T03:59:13Z</cp:lastPrinted>
  <dcterms:created xsi:type="dcterms:W3CDTF">2026-02-17T06:35:15Z</dcterms:created>
  <dcterms:modified xsi:type="dcterms:W3CDTF">2026-02-22T04:00:34Z</dcterms:modified>
</cp:coreProperties>
</file>