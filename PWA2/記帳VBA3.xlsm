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4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ile\Downloads\網頁設計\Expense\PWA_多人\PWA2\"/>
    </mc:Choice>
  </mc:AlternateContent>
  <xr:revisionPtr revIDLastSave="0" documentId="13_ncr:1_{1C2E82A4-032E-4208-9EB1-2C681B1D2AFA}" xr6:coauthVersionLast="47" xr6:coauthVersionMax="47" xr10:uidLastSave="{00000000-0000-0000-0000-000000000000}"/>
  <bookViews>
    <workbookView xWindow="-120" yWindow="-120" windowWidth="29040" windowHeight="15840" firstSheet="4" activeTab="10" xr2:uid="{0F62F40F-2940-40F7-9E06-81750AD34089}"/>
  </bookViews>
  <sheets>
    <sheet name="Sys_DB_Expenses" sheetId="98" state="hidden" r:id="rId1"/>
    <sheet name="Sys_DB_Wallets" sheetId="99" state="hidden" r:id="rId2"/>
    <sheet name="指揮中心" sheetId="144" r:id="rId3"/>
    <sheet name="Raw_Expenses" sheetId="347" r:id="rId4"/>
    <sheet name="Raw_Wallets" sheetId="348" r:id="rId5"/>
    <sheet name="Settings" sheetId="349" r:id="rId6"/>
    <sheet name="Group_Details" sheetId="350" r:id="rId7"/>
    <sheet name="PS_Smile" sheetId="351" r:id="rId8"/>
    <sheet name="PS_可愛的" sheetId="352" r:id="rId9"/>
    <sheet name="PS_Nomad" sheetId="353" r:id="rId10"/>
    <sheet name="Group_Summary" sheetId="354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353" l="1"/>
  <c r="J15" i="353"/>
  <c r="I15" i="353"/>
  <c r="K15" i="353"/>
  <c r="O16" i="352"/>
  <c r="J18" i="352"/>
  <c r="I18" i="352"/>
  <c r="K18" i="352"/>
  <c r="O19" i="351"/>
  <c r="J23" i="351"/>
  <c r="I23" i="351"/>
  <c r="K23" i="351"/>
  <c r="E8" i="351"/>
  <c r="D8" i="351"/>
  <c r="C8" i="351"/>
  <c r="F8" i="351"/>
  <c r="P8" i="350"/>
  <c r="J11" i="350"/>
  <c r="H11" i="350"/>
  <c r="L11" i="350"/>
</calcChain>
</file>

<file path=xl/sharedStrings.xml><?xml version="1.0" encoding="utf-8"?>
<sst xmlns="http://schemas.openxmlformats.org/spreadsheetml/2006/main" count="498" uniqueCount="125">
  <si>
    <t>expenseId</t>
  </si>
  <si>
    <t>date</t>
  </si>
  <si>
    <t>category</t>
  </si>
  <si>
    <t>description</t>
  </si>
  <si>
    <t>amount</t>
  </si>
  <si>
    <t>currency</t>
  </si>
  <si>
    <t>appliedRate</t>
  </si>
  <si>
    <t>twdEquivalent</t>
  </si>
  <si>
    <t>payerUID</t>
  </si>
  <si>
    <t>shares</t>
  </si>
  <si>
    <t>paymentMethod</t>
  </si>
  <si>
    <t>walletId</t>
  </si>
  <si>
    <t>notes</t>
  </si>
  <si>
    <t>shareCount</t>
  </si>
  <si>
    <t>e177132006101941hq</t>
  </si>
  <si>
    <t>food</t>
  </si>
  <si>
    <t>火車票</t>
  </si>
  <si>
    <t>EUR</t>
  </si>
  <si>
    <t>u001</t>
  </si>
  <si>
    <t>u001|u002|u003</t>
  </si>
  <si>
    <t>credit</t>
  </si>
  <si>
    <t>e1771319666919vulk</t>
  </si>
  <si>
    <t>ticket</t>
  </si>
  <si>
    <t>印加古道</t>
  </si>
  <si>
    <t>USD</t>
  </si>
  <si>
    <t>u002</t>
  </si>
  <si>
    <t>u001|u002</t>
  </si>
  <si>
    <t>e17713196196831l0s</t>
  </si>
  <si>
    <t>登山團</t>
  </si>
  <si>
    <t>e1770695268320tf8p</t>
  </si>
  <si>
    <t>stay</t>
  </si>
  <si>
    <t>司</t>
  </si>
  <si>
    <t>JPY</t>
  </si>
  <si>
    <t>u004</t>
  </si>
  <si>
    <t>cash</t>
  </si>
  <si>
    <t>w1770695234668</t>
  </si>
  <si>
    <t>e1770695254451094h</t>
  </si>
  <si>
    <t>景</t>
  </si>
  <si>
    <t>e17706951607245owd</t>
  </si>
  <si>
    <t>央</t>
  </si>
  <si>
    <t>w1770695130028</t>
  </si>
  <si>
    <t>e17706951478926kvn</t>
  </si>
  <si>
    <t>縮</t>
  </si>
  <si>
    <t>e177069510280038cn</t>
  </si>
  <si>
    <t>個</t>
  </si>
  <si>
    <t>ownerUID</t>
  </si>
  <si>
    <t>originalAmount</t>
  </si>
  <si>
    <t>balance</t>
  </si>
  <si>
    <t>rate</t>
  </si>
  <si>
    <t>createdAt</t>
  </si>
  <si>
    <t>2026-02-10T03:45:30.028Z</t>
  </si>
  <si>
    <t>2026-02-10T03:47:14.668Z</t>
  </si>
  <si>
    <t>u003</t>
  </si>
  <si>
    <t>日期</t>
  </si>
  <si>
    <t>描述</t>
  </si>
  <si>
    <t>方式</t>
  </si>
  <si>
    <t>原幣</t>
  </si>
  <si>
    <t>匯率</t>
  </si>
  <si>
    <t>台幣總額</t>
  </si>
  <si>
    <t>每人應攤</t>
  </si>
  <si>
    <t>合計</t>
  </si>
  <si>
    <t>幣別</t>
  </si>
  <si>
    <t>屬性</t>
  </si>
  <si>
    <t>幫人代墊</t>
  </si>
  <si>
    <t>ID 對照表 (ROSTER)</t>
  </si>
  <si>
    <t>🐬 Smile</t>
  </si>
  <si>
    <t>⚽ Nomad</t>
  </si>
  <si>
    <t>🍔 Shared</t>
  </si>
  <si>
    <t>🍴 food</t>
  </si>
  <si>
    <t>🎫 ticket</t>
  </si>
  <si>
    <t>公款支付</t>
  </si>
  <si>
    <t>🏠 stay</t>
  </si>
  <si>
    <t>JPY 總計</t>
  </si>
  <si>
    <t>USD 總計</t>
  </si>
  <si>
    <t>TWD 總負擔</t>
  </si>
  <si>
    <t>錢包動態總覽</t>
  </si>
  <si>
    <t>錢包ID</t>
  </si>
  <si>
    <t>初始額度</t>
  </si>
  <si>
    <t>原幣額</t>
  </si>
  <si>
    <t>w1771383644138</t>
  </si>
  <si>
    <t>w1771383765050</t>
  </si>
  <si>
    <t>🧦 gear</t>
  </si>
  <si>
    <t>吃大餐</t>
  </si>
  <si>
    <t>e1771383786858tg84</t>
  </si>
  <si>
    <t>gear</t>
  </si>
  <si>
    <t>2026-02-18T03:00:44.138Z</t>
  </si>
  <si>
    <t>2026-02-18T03:02:45.050Z</t>
  </si>
  <si>
    <r>
      <rPr>
        <sz val="12"/>
        <color theme="1"/>
        <rFont val="新細明體"/>
        <family val="2"/>
        <charset val="136"/>
      </rPr>
      <t>擁有者</t>
    </r>
  </si>
  <si>
    <r>
      <rPr>
        <sz val="16"/>
        <color theme="1"/>
        <rFont val="Iansui"/>
        <family val="3"/>
        <charset val="136"/>
      </rPr>
      <t>類別</t>
    </r>
  </si>
  <si>
    <r>
      <rPr>
        <sz val="16"/>
        <color theme="1"/>
        <rFont val="Iansui"/>
        <family val="3"/>
        <charset val="136"/>
      </rPr>
      <t>支付者</t>
    </r>
  </si>
  <si>
    <r>
      <rPr>
        <sz val="16"/>
        <color theme="1"/>
        <rFont val="Iansui"/>
        <family val="3"/>
        <charset val="136"/>
      </rPr>
      <t>分攤名單</t>
    </r>
  </si>
  <si>
    <t>總金額</t>
  </si>
  <si>
    <t>佔比 (%)</t>
  </si>
  <si>
    <r>
      <rPr>
        <sz val="16"/>
        <color theme="1"/>
        <rFont val="Iansui"/>
        <family val="3"/>
        <charset val="136"/>
      </rPr>
      <t>消費類別</t>
    </r>
  </si>
  <si>
    <t>【 資產概況 (個人錢包) 】</t>
  </si>
  <si>
    <t>本表記錄流出</t>
  </si>
  <si>
    <t>結算估計剩餘</t>
  </si>
  <si>
    <t>【 終局債務清算 】</t>
  </si>
  <si>
    <t>總代墊(A)</t>
  </si>
  <si>
    <t>應攤總負擔(B)</t>
  </si>
  <si>
    <t>公帳分回(C)</t>
  </si>
  <si>
    <t>公款殘值退回(D)</t>
  </si>
  <si>
    <t>淨應收/補狀態</t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</si>
  <si>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$38,453</t>
    </r>
  </si>
  <si>
    <t>【 詳細消費紀錄 】</t>
  </si>
  <si>
    <t>我的負擔</t>
  </si>
  <si>
    <t>代墊債權</t>
  </si>
  <si>
    <t>他人支付(我分攤)</t>
  </si>
  <si>
    <t>個人私費</t>
  </si>
  <si>
    <r>
      <rPr>
        <sz val="16"/>
        <color theme="1"/>
        <rFont val="Iansui"/>
        <family val="3"/>
        <charset val="136"/>
      </rPr>
      <t>初始額度</t>
    </r>
  </si>
  <si>
    <r>
      <rPr>
        <sz val="16"/>
        <color theme="1"/>
        <rFont val="Iansui"/>
        <family val="3"/>
        <charset val="136"/>
      </rPr>
      <t>公帳分回</t>
    </r>
    <r>
      <rPr>
        <sz val="16"/>
        <color theme="1"/>
        <rFont val="Segoe UI Emoji"/>
        <family val="2"/>
      </rPr>
      <t>(C)</t>
    </r>
  </si>
  <si>
    <r>
      <t xml:space="preserve">🟢 </t>
    </r>
    <r>
      <rPr>
        <sz val="16"/>
        <color theme="1"/>
        <rFont val="Iansui"/>
        <family val="3"/>
        <charset val="136"/>
      </rPr>
      <t>應收回</t>
    </r>
    <r>
      <rPr>
        <sz val="16"/>
        <color theme="1"/>
        <rFont val="Segoe UI Emoji"/>
        <family val="2"/>
      </rPr>
      <t xml:space="preserve"> $55,238</t>
    </r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</si>
  <si>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$17,434</t>
    </r>
  </si>
  <si>
    <t>預繳/代墊(A)</t>
  </si>
  <si>
    <t>應攤總額(B)</t>
  </si>
  <si>
    <t>最終應收/補</t>
  </si>
  <si>
    <r>
      <rPr>
        <sz val="16"/>
        <color theme="1"/>
        <rFont val="Iansui"/>
        <family val="3"/>
        <charset val="136"/>
      </rPr>
      <t>成員</t>
    </r>
  </si>
  <si>
    <r>
      <rPr>
        <sz val="16"/>
        <color theme="1"/>
        <rFont val="Iansui"/>
        <family val="3"/>
        <charset val="136"/>
      </rPr>
      <t>狀態</t>
    </r>
  </si>
  <si>
    <r>
      <t xml:space="preserve">🔴 </t>
    </r>
    <r>
      <rPr>
        <sz val="16"/>
        <color theme="1"/>
        <rFont val="Iansui"/>
        <family val="3"/>
        <charset val="136"/>
      </rPr>
      <t>須補</t>
    </r>
  </si>
  <si>
    <r>
      <t xml:space="preserve">🟢 </t>
    </r>
    <r>
      <rPr>
        <sz val="16"/>
        <color theme="1"/>
        <rFont val="Iansui"/>
        <family val="3"/>
        <charset val="136"/>
      </rPr>
      <t>拿回</t>
    </r>
  </si>
  <si>
    <t>🐬 Smile</t>
    <phoneticPr fontId="1" type="noConversion"/>
  </si>
  <si>
    <r>
      <t>🌻</t>
    </r>
    <r>
      <rPr>
        <sz val="16"/>
        <color theme="1"/>
        <rFont val="新細明體"/>
        <family val="2"/>
        <charset val="136"/>
      </rPr>
      <t>可愛的</t>
    </r>
    <phoneticPr fontId="1" type="noConversion"/>
  </si>
  <si>
    <r>
      <t>🌻</t>
    </r>
    <r>
      <rPr>
        <sz val="16"/>
        <color theme="1"/>
        <rFont val="Iansui"/>
        <family val="3"/>
        <charset val="136"/>
      </rPr>
      <t>可愛的</t>
    </r>
  </si>
  <si>
    <r>
      <t>🐬 Smile, 🌻</t>
    </r>
    <r>
      <rPr>
        <sz val="16"/>
        <color theme="1"/>
        <rFont val="Iansui"/>
        <family val="3"/>
        <charset val="136"/>
      </rPr>
      <t>可愛的</t>
    </r>
    <r>
      <rPr>
        <sz val="16"/>
        <color theme="1"/>
        <rFont val="Segoe UI Emoji"/>
        <family val="2"/>
      </rPr>
      <t>, ⚽ Nomad</t>
    </r>
  </si>
  <si>
    <r>
      <t>🐬 Smile, 🌻</t>
    </r>
    <r>
      <rPr>
        <sz val="16"/>
        <color theme="1"/>
        <rFont val="Iansui"/>
        <family val="3"/>
        <charset val="136"/>
      </rPr>
      <t>可愛的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</si>
</sst>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&quot;$&quot;#,##0"/>
    <numFmt numFmtId="178" formatCode="0.0%\ "/>
  </numFmts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Iansui"/>
      <family val="3"/>
      <charset val="136"/>
    </font>
    <font>
      <sz val="12"/>
      <color rgb="FFFFFFFF"/>
      <name val="新細明體"/>
      <family val="2"/>
      <charset val="136"/>
      <scheme val="minor"/>
    </font>
    <font>
      <sz val="16"/>
      <color theme="1"/>
      <name val="Iansui"/>
      <family val="3"/>
      <charset val="136"/>
    </font>
    <font>
      <sz val="16"/>
      <color rgb="FFFFFFFF"/>
      <name val="Iansui"/>
      <family val="3"/>
      <charset val="136"/>
    </font>
    <font>
      <b/>
      <sz val="22"/>
      <color theme="1"/>
      <name val="Iansui"/>
      <family val="3"/>
      <charset val="136"/>
    </font>
    <font>
      <sz val="16"/>
      <color theme="1"/>
      <name val="Segoe UI Emoji"/>
      <family val="2"/>
    </font>
    <font>
      <sz val="12"/>
      <color rgb="FFFFFFFF"/>
      <name val="Segoe UI Emoji"/>
      <family val="2"/>
    </font>
    <font>
      <sz val="12"/>
      <color theme="1"/>
      <name val="Segoe UI Emoji"/>
      <family val="2"/>
    </font>
    <font>
      <sz val="12"/>
      <color theme="1"/>
      <name val="新細明體"/>
      <family val="2"/>
      <charset val="136"/>
    </font>
    <font>
      <b/>
      <sz val="26"/>
      <color rgb="FF323232"/>
      <name val="Segoe UI Emoji"/>
      <family val="2"/>
    </font>
    <font>
      <b/>
      <sz val="22"/>
      <color rgb="FF0369A1"/>
      <name val="Iansui"/>
      <family val="3"/>
      <charset val="136"/>
    </font>
    <font>
      <sz val="16"/>
      <color theme="1"/>
      <name val="新細明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EDD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22" fontId="0" fillId="0" borderId="0" xfId="0" applyNumberFormat="1">
      <alignment vertical="center"/>
    </xf>
    <xf numFmtId="0" fontId="3" fillId="7" borderId="0" xfId="0" applyFont="1" applyFill="1">
      <alignment vertical="center"/>
    </xf>
    <xf numFmtId="0" fontId="4" fillId="0" borderId="0" xfId="0" applyFont="1">
      <alignment vertical="center"/>
    </xf>
    <xf numFmtId="22" fontId="4" fillId="0" borderId="0" xfId="0" applyNumberFormat="1" applyFont="1">
      <alignment vertical="center"/>
    </xf>
    <xf numFmtId="0" fontId="5" fillId="7" borderId="0" xfId="0" applyFont="1" applyFill="1">
      <alignment vertical="center"/>
    </xf>
    <xf numFmtId="176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6" borderId="0" xfId="0" applyFont="1" applyFill="1">
      <alignment vertical="center"/>
    </xf>
    <xf numFmtId="0" fontId="8" fillId="7" borderId="0" xfId="0" applyFont="1" applyFill="1">
      <alignment vertical="center"/>
    </xf>
    <xf numFmtId="0" fontId="9" fillId="0" borderId="0" xfId="0" applyFont="1">
      <alignment vertical="center"/>
    </xf>
    <xf numFmtId="0" fontId="7" fillId="0" borderId="0" xfId="0" applyFont="1">
      <alignment vertical="center"/>
    </xf>
    <xf numFmtId="0" fontId="7" fillId="5" borderId="0" xfId="0" applyFont="1" applyFill="1">
      <alignment vertical="center"/>
    </xf>
    <xf numFmtId="0" fontId="7" fillId="2" borderId="0" xfId="0" applyFont="1" applyFill="1">
      <alignment vertical="center"/>
    </xf>
    <xf numFmtId="0" fontId="7" fillId="3" borderId="0" xfId="0" applyFont="1" applyFill="1">
      <alignment vertical="center"/>
    </xf>
    <xf numFmtId="0" fontId="7" fillId="4" borderId="0" xfId="0" applyFont="1" applyFill="1">
      <alignment vertical="center"/>
    </xf>
    <xf numFmtId="0" fontId="2" fillId="8" borderId="0" xfId="0" applyFont="1" applyFill="1">
      <alignment vertical="center"/>
    </xf>
    <xf numFmtId="0" fontId="11" fillId="8" borderId="0" xfId="0" applyFont="1" applyFill="1">
      <alignment vertical="center"/>
    </xf>
    <xf numFmtId="177" fontId="4" fillId="5" borderId="0" xfId="0" applyNumberFormat="1" applyFont="1" applyFill="1">
      <alignment vertical="center"/>
    </xf>
    <xf numFmtId="177" fontId="4" fillId="2" borderId="0" xfId="0" applyNumberFormat="1" applyFont="1" applyFill="1">
      <alignment vertical="center"/>
    </xf>
    <xf numFmtId="177" fontId="4" fillId="3" borderId="0" xfId="0" applyNumberFormat="1" applyFont="1" applyFill="1">
      <alignment vertical="center"/>
    </xf>
    <xf numFmtId="177" fontId="4" fillId="4" borderId="0" xfId="0" applyNumberFormat="1" applyFont="1" applyFill="1">
      <alignment vertical="center"/>
    </xf>
    <xf numFmtId="178" fontId="4" fillId="5" borderId="0" xfId="0" applyNumberFormat="1" applyFont="1" applyFill="1">
      <alignment vertical="center"/>
    </xf>
    <xf numFmtId="178" fontId="4" fillId="2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4" fillId="9" borderId="0" xfId="0" applyFont="1" applyFill="1">
      <alignment vertical="center"/>
    </xf>
    <xf numFmtId="0" fontId="4" fillId="6" borderId="0" xfId="0" applyFont="1" applyFill="1">
      <alignment vertical="center"/>
    </xf>
    <xf numFmtId="0" fontId="7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一般" xfId="0" builtinId="0"/>
  </cellStyles>
  <dxfs count="201">
    <dxf>
      <font>
        <b val="0"/>
        <i val="0"/>
        <strike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border>
        <top style="thin">
          <color indexed="64"/>
        </top>
      </border>
    </dxf>
    <dxf>
      <fill>
        <patternFill patternType="solid">
          <fgColor indexed="64"/>
          <bgColor rgb="FFE0F2FE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E0F2FE"/>
        </patternFill>
      </fill>
    </dxf>
    <dxf>
      <numFmt numFmtId="178" formatCode="0.0%\ "/>
    </dxf>
    <dxf>
      <numFmt numFmtId="177" formatCode="&quot;$&quot;#,##0"/>
    </dxf>
    <dxf>
      <font>
        <b val="0"/>
        <i val="0"/>
        <strike val="0"/>
        <outline val="0"/>
        <shadow val="0"/>
        <u val="none"/>
        <vertAlign val="baseline"/>
        <color theme="1"/>
        <name val="Segoe UI Emoji"/>
        <family val="2"/>
      </font>
    </dxf>
    <dxf>
      <font>
        <b val="0"/>
        <i val="0"/>
        <strike val="0"/>
        <outline val="0"/>
        <shadow val="0"/>
        <u val="none"/>
        <vertAlign val="baseline"/>
        <color theme="1"/>
        <name val="Segoe UI Emoji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border>
        <top style="thin">
          <color indexed="64"/>
        </top>
      </border>
    </dxf>
    <dxf>
      <fill>
        <patternFill patternType="solid">
          <fgColor indexed="64"/>
          <bgColor rgb="FFE0F2FE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E0F2FE"/>
        </patternFill>
      </fill>
    </dxf>
    <dxf>
      <numFmt numFmtId="178" formatCode="0.0%\ "/>
    </dxf>
    <dxf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90EE9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border>
        <top style="thin">
          <color indexed="64"/>
        </top>
      </border>
    </dxf>
    <dxf>
      <fill>
        <patternFill patternType="solid">
          <fgColor indexed="64"/>
          <bgColor rgb="FFE0F2FE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E0F2FE"/>
        </patternFill>
      </fill>
    </dxf>
    <dxf>
      <numFmt numFmtId="178" formatCode="0.0%\ "/>
    </dxf>
    <dxf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fill>
        <patternFill patternType="solid">
          <fgColor indexed="64"/>
          <bgColor rgb="FFE0F2FE"/>
        </patternFill>
      </fill>
    </dxf>
    <dxf>
      <border>
        <top style="thin">
          <color indexed="64"/>
        </top>
      </border>
    </dxf>
    <dxf>
      <fill>
        <patternFill patternType="solid">
          <fgColor indexed="64"/>
          <bgColor rgb="FFE0F2FE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E0F2FE"/>
        </patternFill>
      </fill>
    </dxf>
    <dxf>
      <numFmt numFmtId="178" formatCode="0.0%\ "/>
    </dxf>
    <dxf>
      <numFmt numFmtId="177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6" formatCode="yyyy/mm/dd"/>
    </dxf>
    <dxf>
      <font>
        <b val="0"/>
        <i val="0"/>
        <strike val="0"/>
        <outline val="0"/>
        <shadow val="0"/>
        <u val="none"/>
        <vertAlign val="baseline"/>
        <sz val="12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8539-438C-A73C-AAF2FBEE1F03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8539-438C-A73C-AAF2FBEE1F03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8539-438C-A73C-AAF2FBEE1F03}"/>
              </c:ext>
            </c:extLst>
          </c:dPt>
          <c:dPt>
            <c:idx val="3"/>
            <c:bubble3D val="0"/>
            <c:spPr>
              <a:solidFill>
                <a:srgbClr val="FFFACD"/>
              </a:solidFill>
            </c:spPr>
            <c:extLst>
              <c:ext xmlns:c16="http://schemas.microsoft.com/office/drawing/2014/chart" uri="{C3380CC4-5D6E-409C-BE32-E72D297353CC}">
                <c16:uniqueId val="{00000004-8539-438C-A73C-AAF2FBEE1F03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$66,000 (24%)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539-438C-A73C-AAF2FBEE1F03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$188,202 (70%)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539-438C-A73C-AAF2FBEE1F03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$15,813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539-438C-A73C-AAF2FBEE1F03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🏠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stay
$132 (0%)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539-438C-A73C-AAF2FBEE1F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Group_Details!$N$4:$N$7</c:f>
              <c:strCache>
                <c:ptCount val="4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  <c:pt idx="3">
                  <c:v>🏠 stay</c:v>
                </c:pt>
              </c:strCache>
            </c:strRef>
          </c:cat>
          <c:val>
            <c:numRef>
              <c:f>Group_Details!$O$4:$O$7</c:f>
              <c:numCache>
                <c:formatCode>"$"#,##0</c:formatCode>
                <c:ptCount val="4"/>
                <c:pt idx="0">
                  <c:v>66000</c:v>
                </c:pt>
                <c:pt idx="1">
                  <c:v>188202.1</c:v>
                </c:pt>
                <c:pt idx="2">
                  <c:v>15813</c:v>
                </c:pt>
                <c:pt idx="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9-438C-A73C-AAF2FBEE1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19E6-448B-AF9D-63B3B7FABEAE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19E6-448B-AF9D-63B3B7FABEAE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19E6-448B-AF9D-63B3B7FABEAE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(16%)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9E6-448B-AF9D-63B3B7FABEAE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$110,453 (79%)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9E6-448B-AF9D-63B3B7FABEAE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$7,907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9E6-448B-AF9D-63B3B7FABE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PS_Smile!$M$16:$M$18</c:f>
              <c:strCache>
                <c:ptCount val="3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</c:strCache>
            </c:strRef>
          </c:cat>
          <c:val>
            <c:numRef>
              <c:f>PS_Smile!$N$16:$N$18</c:f>
              <c:numCache>
                <c:formatCode>"$"#,##0</c:formatCode>
                <c:ptCount val="3"/>
                <c:pt idx="0">
                  <c:v>22000</c:v>
                </c:pt>
                <c:pt idx="1">
                  <c:v>110453.45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6-448B-AF9D-63B3B7FA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A785-425F-84E9-912FEAB087AF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A785-425F-84E9-912FEAB087AF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A785-425F-84E9-912FEAB087A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(18%)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785-425F-84E9-912FEAB087AF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$93,601 (76%)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785-425F-84E9-912FEAB087AF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$7,907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785-425F-84E9-912FEAB087A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PS_可愛的!$M$13:$M$15</c:f>
              <c:strCache>
                <c:ptCount val="3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</c:strCache>
            </c:strRef>
          </c:cat>
          <c:val>
            <c:numRef>
              <c:f>PS_可愛的!$N$13:$N$15</c:f>
              <c:numCache>
                <c:formatCode>"$"#,##0</c:formatCode>
                <c:ptCount val="3"/>
                <c:pt idx="0">
                  <c:v>22000</c:v>
                </c:pt>
                <c:pt idx="1">
                  <c:v>93600.95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5-425F-84E9-912FEAB08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8936-4AFA-AF2D-72D8236EC02D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8936-4AFA-AF2D-72D8236EC02D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(96%)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936-4AFA-AF2D-72D8236EC02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$835 (4%)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936-4AFA-AF2D-72D8236EC02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PS_Nomad!$M$13:$M$14</c:f>
              <c:strCache>
                <c:ptCount val="2"/>
                <c:pt idx="0">
                  <c:v>🧦 gear</c:v>
                </c:pt>
                <c:pt idx="1">
                  <c:v>🍴 food</c:v>
                </c:pt>
              </c:strCache>
            </c:strRef>
          </c:cat>
          <c:val>
            <c:numRef>
              <c:f>PS_Nomad!$N$13:$N$14</c:f>
              <c:numCache>
                <c:formatCode>"$"#,##0</c:formatCode>
                <c:ptCount val="2"/>
                <c:pt idx="0">
                  <c:v>22000</c:v>
                </c:pt>
                <c:pt idx="1">
                  <c:v>835.19999999999993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6-4AFA-AF2D-72D8236EC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4349750</xdr:colOff>
      <xdr:row>3</xdr:row>
      <xdr:rowOff>50800</xdr:rowOff>
    </xdr:from>
    <xdr:to>
      <xdr:col>13</xdr:col>
      <xdr:colOff>615950</xdr:colOff>
      <xdr:row>6</xdr:row>
      <xdr:rowOff>92075</xdr:rowOff>
    </xdr:to>
    <xdr:sp macro="Btn1_ImportData" textlink="">
      <xdr:nvSpPr>
        <xdr:cNvPr id="2" name="矩形: 圓角 1">
          <a:extLst>
            <a:ext uri="{FF2B5EF4-FFF2-40B4-BE49-F238E27FC236}">
              <a16:creationId xmlns:a16="http://schemas.microsoft.com/office/drawing/2014/main" id="{A46BC8ED-B10C-50D7-56C4-2B5DA6B63AE3}"/>
            </a:ext>
          </a:extLst>
        </xdr:cNvPr>
        <xdr:cNvSpPr/>
      </xdr:nvSpPr>
      <xdr:spPr>
        <a:xfrm>
          <a:off x="5721350" y="974725"/>
          <a:ext cx="10220325" cy="698500"/>
        </a:xfrm>
        <a:prstGeom prst="roundRect">
          <a:avLst/>
        </a:prstGeom>
        <a:solidFill>
          <a:srgbClr val="9BBB5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1.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 </a:t>
          </a:r>
          <a:r>
            <a:rPr lang="zh-TW" altLang="en-US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自動匯入 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(Import)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0</xdr:col>
      <xdr:colOff>187325</xdr:colOff>
      <xdr:row>8</xdr:row>
      <xdr:rowOff>53975</xdr:rowOff>
    </xdr:from>
    <xdr:to>
      <xdr:col>5</xdr:col>
      <xdr:colOff>568325</xdr:colOff>
      <xdr:row>11</xdr:row>
      <xdr:rowOff>95250</xdr:rowOff>
    </xdr:to>
    <xdr:sp macro="Btn2_Settings" textlink="">
      <xdr:nvSpPr>
        <xdr:cNvPr id="3" name="矩形: 圓角 2">
          <a:extLst>
            <a:ext uri="{FF2B5EF4-FFF2-40B4-BE49-F238E27FC236}">
              <a16:creationId xmlns:a16="http://schemas.microsoft.com/office/drawing/2014/main" id="{F78A2200-F7C3-1D88-E0B1-4A2221319031}"/>
            </a:ext>
          </a:extLst>
        </xdr:cNvPr>
        <xdr:cNvSpPr/>
      </xdr:nvSpPr>
      <xdr:spPr>
        <a:xfrm>
          <a:off x="187325" y="2073275"/>
          <a:ext cx="10220325" cy="698500"/>
        </a:xfrm>
        <a:prstGeom prst="roundRect">
          <a:avLst/>
        </a:prstGeom>
        <a:solidFill>
          <a:srgbClr val="70707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2.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系統設定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(Settings)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4416425</xdr:colOff>
      <xdr:row>12</xdr:row>
      <xdr:rowOff>171450</xdr:rowOff>
    </xdr:from>
    <xdr:to>
      <xdr:col>13</xdr:col>
      <xdr:colOff>682625</xdr:colOff>
      <xdr:row>15</xdr:row>
      <xdr:rowOff>212725</xdr:rowOff>
    </xdr:to>
    <xdr:sp macro="Btn3_GroupDetails" textlink="">
      <xdr:nvSpPr>
        <xdr:cNvPr id="4" name="矩形: 圓角 3">
          <a:extLst>
            <a:ext uri="{FF2B5EF4-FFF2-40B4-BE49-F238E27FC236}">
              <a16:creationId xmlns:a16="http://schemas.microsoft.com/office/drawing/2014/main" id="{65A85481-8FEE-2BA2-A661-5B7B5547D2F0}"/>
            </a:ext>
          </a:extLst>
        </xdr:cNvPr>
        <xdr:cNvSpPr/>
      </xdr:nvSpPr>
      <xdr:spPr>
        <a:xfrm>
          <a:off x="5788025" y="3067050"/>
          <a:ext cx="10220325" cy="698500"/>
        </a:xfrm>
        <a:prstGeom prst="roundRect">
          <a:avLst/>
        </a:prstGeom>
        <a:solidFill>
          <a:srgbClr val="9696FA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3.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團體明細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(Group)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158750</xdr:colOff>
      <xdr:row>17</xdr:row>
      <xdr:rowOff>174625</xdr:rowOff>
    </xdr:from>
    <xdr:to>
      <xdr:col>5</xdr:col>
      <xdr:colOff>539750</xdr:colOff>
      <xdr:row>20</xdr:row>
      <xdr:rowOff>215900</xdr:rowOff>
    </xdr:to>
    <xdr:sp macro="Btn4_PersonalSheets" textlink="">
      <xdr:nvSpPr>
        <xdr:cNvPr id="5" name="矩形: 圓角 4">
          <a:extLst>
            <a:ext uri="{FF2B5EF4-FFF2-40B4-BE49-F238E27FC236}">
              <a16:creationId xmlns:a16="http://schemas.microsoft.com/office/drawing/2014/main" id="{B3EFE33B-30F7-2766-52B1-20BFF07ACE0A}"/>
            </a:ext>
          </a:extLst>
        </xdr:cNvPr>
        <xdr:cNvSpPr/>
      </xdr:nvSpPr>
      <xdr:spPr>
        <a:xfrm>
          <a:off x="158750" y="4165600"/>
          <a:ext cx="10220325" cy="6985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4.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個人分頁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(Personal)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815975</xdr:colOff>
      <xdr:row>23</xdr:row>
      <xdr:rowOff>73025</xdr:rowOff>
    </xdr:from>
    <xdr:to>
      <xdr:col>8</xdr:col>
      <xdr:colOff>511175</xdr:colOff>
      <xdr:row>26</xdr:row>
      <xdr:rowOff>114300</xdr:rowOff>
    </xdr:to>
    <xdr:sp macro="Btn5_GroupSummary" textlink="">
      <xdr:nvSpPr>
        <xdr:cNvPr id="6" name="矩形: 圓角 5">
          <a:extLst>
            <a:ext uri="{FF2B5EF4-FFF2-40B4-BE49-F238E27FC236}">
              <a16:creationId xmlns:a16="http://schemas.microsoft.com/office/drawing/2014/main" id="{8EC8FF98-423B-2DE8-8770-1921C2A41D1D}"/>
            </a:ext>
          </a:extLst>
        </xdr:cNvPr>
        <xdr:cNvSpPr/>
      </xdr:nvSpPr>
      <xdr:spPr>
        <a:xfrm>
          <a:off x="2187575" y="5378450"/>
          <a:ext cx="10220325" cy="6985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5.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終局結算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(Summary)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352425</xdr:colOff>
      <xdr:row>0</xdr:row>
      <xdr:rowOff>47625</xdr:rowOff>
    </xdr:from>
    <xdr:to>
      <xdr:col>10</xdr:col>
      <xdr:colOff>533400</xdr:colOff>
      <xdr:row>5</xdr:row>
      <xdr:rowOff>180975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1829F41F-F881-4DF0-BFFC-AD008953FFE1}"/>
            </a:ext>
          </a:extLst>
        </xdr:cNvPr>
        <xdr:cNvSpPr/>
      </xdr:nvSpPr>
      <xdr:spPr>
        <a:xfrm>
          <a:off x="352425" y="47625"/>
          <a:ext cx="13449300" cy="149542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🐬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2026 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哆啦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A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夢對帳系統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(Colorful Icons)</a:t>
          </a:r>
          <a:endParaRPr lang="zh-TW" altLang="en-US" sz="4800" b="1">
            <a:solidFill>
              <a:srgbClr val="323232"/>
            </a:solidFill>
            <a:latin typeface="華康POP1體W5" panose="040B0509000000000000" pitchFamily="81" charset="-120"/>
            <a:ea typeface="華康POP1體W5" panose="040B0509000000000000" pitchFamily="81" charset="-120"/>
          </a:endParaRPr>
        </a:p>
      </xdr:txBody>
    </xdr:sp>
    <xdr:clientData/>
  </xdr:twoCellAnchor>
  <xdr:twoCellAnchor>
    <xdr:from>
      <xdr:col>10</xdr:col>
      <xdr:colOff>333375</xdr:colOff>
      <xdr:row>17</xdr:row>
      <xdr:rowOff>161925</xdr:rowOff>
    </xdr:from>
    <xdr:to>
      <xdr:col>13</xdr:col>
      <xdr:colOff>114300</xdr:colOff>
      <xdr:row>20</xdr:row>
      <xdr:rowOff>203200</xdr:rowOff>
    </xdr:to>
    <xdr:sp macro="[0]!ExportMacaronPDF_Ultimate_Final" textlink="">
      <xdr:nvSpPr>
        <xdr:cNvPr id="8" name="矩形: 圓角 7">
          <a:extLst>
            <a:ext uri="{FF2B5EF4-FFF2-40B4-BE49-F238E27FC236}">
              <a16:creationId xmlns:a16="http://schemas.microsoft.com/office/drawing/2014/main" id="{DA65A8D1-D799-45D7-9E0B-C13887E94AC7}"/>
            </a:ext>
          </a:extLst>
        </xdr:cNvPr>
        <xdr:cNvSpPr/>
      </xdr:nvSpPr>
      <xdr:spPr>
        <a:xfrm>
          <a:off x="13601700" y="4152900"/>
          <a:ext cx="1838325" cy="6985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PDF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匯出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12</xdr:col>
      <xdr:colOff>209550</xdr:colOff>
      <xdr:row>23</xdr:row>
      <xdr:rowOff>76200</xdr:rowOff>
    </xdr:from>
    <xdr:to>
      <xdr:col>14</xdr:col>
      <xdr:colOff>676275</xdr:colOff>
      <xdr:row>26</xdr:row>
      <xdr:rowOff>117475</xdr:rowOff>
    </xdr:to>
    <xdr:sp macro="[0]!ShowExportForm" textlink="">
      <xdr:nvSpPr>
        <xdr:cNvPr id="9" name="矩形: 圓角 8">
          <a:extLst>
            <a:ext uri="{FF2B5EF4-FFF2-40B4-BE49-F238E27FC236}">
              <a16:creationId xmlns:a16="http://schemas.microsoft.com/office/drawing/2014/main" id="{75671A54-2C00-40E8-A249-2F66C3B227A4}"/>
            </a:ext>
          </a:extLst>
        </xdr:cNvPr>
        <xdr:cNvSpPr/>
      </xdr:nvSpPr>
      <xdr:spPr>
        <a:xfrm>
          <a:off x="14849475" y="5381625"/>
          <a:ext cx="1838325" cy="698500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800" b="0">
              <a:solidFill>
                <a:sysClr val="windowText" lastClr="000000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個人匯出</a:t>
          </a:r>
          <a:endParaRPr lang="zh-TW" altLang="en-US" sz="2800" b="0">
            <a:solidFill>
              <a:sysClr val="windowText" lastClr="000000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41275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2635006A-29BA-91DE-58CA-1162359F68DD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241300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137DA119-9E58-09F6-E3AE-27533F7117EA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AD48DD2A-2208-7ED7-159F-6CA23D486D41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28</xdr:col>
      <xdr:colOff>76200</xdr:colOff>
      <xdr:row>18</xdr:row>
      <xdr:rowOff>41275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73576E6-E114-FD51-AC15-723E56F69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26D66B99-BC5F-6AFF-8054-2D7294E346D6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0.62457</cdr:x>
      <cdr:y>0.875</cdr:y>
    </cdr:from>
    <cdr:to>
      <cdr:x>1</cdr:x>
      <cdr:y>0.96669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8534F1A1-9AD1-CC14-B81D-36E11EA15710}"/>
            </a:ext>
          </a:extLst>
        </cdr:cNvPr>
        <cdr:cNvSpPr txBox="1"/>
      </cdr:nvSpPr>
      <cdr:spPr>
        <a:xfrm xmlns:a="http://schemas.openxmlformats.org/drawingml/2006/main">
          <a:off x="5080000" y="4445000"/>
          <a:ext cx="2860783" cy="4657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TW" sz="2000" b="1" kern="1200">
              <a:solidFill>
                <a:srgbClr val="000000"/>
              </a:solidFill>
              <a:latin typeface="Iansui" pitchFamily="2" charset="-120"/>
            </a:rPr>
            <a:t> Expense Distribution </a:t>
          </a:r>
          <a:endParaRPr lang="zh-TW" altLang="en-US" sz="2000" b="1" kern="1200">
            <a:solidFill>
              <a:srgbClr val="000000"/>
            </a:solidFill>
            <a:latin typeface="Iansui" pitchFamily="2" charset="-12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14</xdr:row>
      <xdr:rowOff>0</xdr:rowOff>
    </xdr:from>
    <xdr:to>
      <xdr:col>27</xdr:col>
      <xdr:colOff>76200</xdr:colOff>
      <xdr:row>31</xdr:row>
      <xdr:rowOff>60325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45B6ED2-9AC2-2D00-C490-B2F3698AA5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F4798CEA-AFB6-2FF0-4331-2F6391284E2C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0.62457</cdr:x>
      <cdr:y>0.875</cdr:y>
    </cdr:from>
    <cdr:to>
      <cdr:x>1</cdr:x>
      <cdr:y>0.96669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2F6FA564-27CA-C26D-3601-23B9A38F8DD6}"/>
            </a:ext>
          </a:extLst>
        </cdr:cNvPr>
        <cdr:cNvSpPr txBox="1"/>
      </cdr:nvSpPr>
      <cdr:spPr>
        <a:xfrm xmlns:a="http://schemas.openxmlformats.org/drawingml/2006/main">
          <a:off x="5080000" y="4445000"/>
          <a:ext cx="2860783" cy="4657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TW" sz="2000" b="1" kern="1200">
              <a:solidFill>
                <a:srgbClr val="000000"/>
              </a:solidFill>
              <a:latin typeface="Iansui" pitchFamily="2" charset="-120"/>
            </a:rPr>
            <a:t> Expense Distribution </a:t>
          </a:r>
          <a:endParaRPr lang="zh-TW" altLang="en-US" sz="2000" b="1" kern="1200">
            <a:solidFill>
              <a:srgbClr val="000000"/>
            </a:solidFill>
            <a:latin typeface="Iansui" pitchFamily="2" charset="-12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27</xdr:col>
      <xdr:colOff>76200</xdr:colOff>
      <xdr:row>28</xdr:row>
      <xdr:rowOff>60325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F56D313A-33F8-AEE5-6F9A-98C6545B37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0462BC49-1A1A-1914-B72D-E8EB3F8FBE71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0.62457</cdr:x>
      <cdr:y>0.875</cdr:y>
    </cdr:from>
    <cdr:to>
      <cdr:x>1</cdr:x>
      <cdr:y>0.96669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DE8B28F3-47FB-DE43-3722-E470154068D9}"/>
            </a:ext>
          </a:extLst>
        </cdr:cNvPr>
        <cdr:cNvSpPr txBox="1"/>
      </cdr:nvSpPr>
      <cdr:spPr>
        <a:xfrm xmlns:a="http://schemas.openxmlformats.org/drawingml/2006/main">
          <a:off x="5080000" y="4445000"/>
          <a:ext cx="2860783" cy="4657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TW" sz="2000" b="1" kern="1200">
              <a:solidFill>
                <a:srgbClr val="000000"/>
              </a:solidFill>
              <a:latin typeface="Iansui" pitchFamily="2" charset="-120"/>
            </a:rPr>
            <a:t> Expense Distribution </a:t>
          </a:r>
          <a:endParaRPr lang="zh-TW" altLang="en-US" sz="2000" b="1" kern="1200">
            <a:solidFill>
              <a:srgbClr val="000000"/>
            </a:solidFill>
            <a:latin typeface="Iansui" pitchFamily="2" charset="-12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27</xdr:col>
      <xdr:colOff>76200</xdr:colOff>
      <xdr:row>28</xdr:row>
      <xdr:rowOff>69850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7C6066B-9647-925B-5D90-63BA3365A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1A0C2037-BCDA-184D-31A3-048014FECCCE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0.62457</cdr:x>
      <cdr:y>0.875</cdr:y>
    </cdr:from>
    <cdr:to>
      <cdr:x>1</cdr:x>
      <cdr:y>0.96669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7A4E15FB-CFDC-E9C1-CFA1-0A1991CC347D}"/>
            </a:ext>
          </a:extLst>
        </cdr:cNvPr>
        <cdr:cNvSpPr txBox="1"/>
      </cdr:nvSpPr>
      <cdr:spPr>
        <a:xfrm xmlns:a="http://schemas.openxmlformats.org/drawingml/2006/main">
          <a:off x="5080000" y="4445000"/>
          <a:ext cx="2860783" cy="4657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US" altLang="zh-TW" sz="2000" b="1" kern="1200">
              <a:solidFill>
                <a:srgbClr val="000000"/>
              </a:solidFill>
              <a:latin typeface="Iansui" pitchFamily="2" charset="-120"/>
            </a:rPr>
            <a:t> Expense Distribution </a:t>
          </a:r>
          <a:endParaRPr lang="zh-TW" altLang="en-US" sz="2000" b="1" kern="1200">
            <a:solidFill>
              <a:srgbClr val="000000"/>
            </a:solidFill>
            <a:latin typeface="Iansui" pitchFamily="2" charset="-12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95250</xdr:rowOff>
    </xdr:from>
    <xdr:to>
      <xdr:col>15</xdr:col>
      <xdr:colOff>508000</xdr:colOff>
      <xdr:row>3</xdr:row>
      <xdr:rowOff>158750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9826D714-BF25-9EBF-132A-01BBB1F6F041}"/>
            </a:ext>
          </a:extLst>
        </xdr:cNvPr>
        <xdr:cNvSpPr/>
      </xdr:nvSpPr>
      <xdr:spPr>
        <a:xfrm>
          <a:off x="635000" y="381000"/>
          <a:ext cx="10160000" cy="635000"/>
        </a:xfrm>
        <a:prstGeom prst="roundRect">
          <a:avLst/>
        </a:prstGeom>
        <a:solidFill>
          <a:srgbClr val="C4CAF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2400" b="1">
              <a:solidFill>
                <a:srgbClr val="0369A1"/>
              </a:solidFill>
              <a:latin typeface="Iansui" pitchFamily="2" charset="-120"/>
            </a:rPr>
            <a:t>【 Settlement Summary 】</a:t>
          </a:r>
          <a:endParaRPr lang="zh-TW" altLang="en-US" sz="2400" b="1">
            <a:solidFill>
              <a:srgbClr val="0369A1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4</xdr:row>
      <xdr:rowOff>0</xdr:rowOff>
    </xdr:from>
    <xdr:to>
      <xdr:col>12</xdr:col>
      <xdr:colOff>25400</xdr:colOff>
      <xdr:row>5</xdr:row>
      <xdr:rowOff>222250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1D7CDE95-A861-C9C4-4C1E-8B707F4B1153}"/>
            </a:ext>
          </a:extLst>
        </xdr:cNvPr>
        <xdr:cNvSpPr/>
      </xdr:nvSpPr>
      <xdr:spPr>
        <a:xfrm>
          <a:off x="635000" y="114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🐬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Smile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$38,453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6</xdr:row>
      <xdr:rowOff>63500</xdr:rowOff>
    </xdr:from>
    <xdr:to>
      <xdr:col>12</xdr:col>
      <xdr:colOff>25400</xdr:colOff>
      <xdr:row>8</xdr:row>
      <xdr:rowOff>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C24C7624-458C-5A31-3069-1EC9C5231B54}"/>
            </a:ext>
          </a:extLst>
        </xdr:cNvPr>
        <xdr:cNvSpPr/>
      </xdr:nvSpPr>
      <xdr:spPr>
        <a:xfrm>
          <a:off x="635000" y="1778000"/>
          <a:ext cx="7620000" cy="508000"/>
        </a:xfrm>
        <a:prstGeom prst="roundRect">
          <a:avLst/>
        </a:prstGeom>
        <a:solidFill>
          <a:srgbClr val="90EE9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🌻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可愛的 拿回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$55,238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8</xdr:row>
      <xdr:rowOff>127000</xdr:rowOff>
    </xdr:from>
    <xdr:to>
      <xdr:col>12</xdr:col>
      <xdr:colOff>25400</xdr:colOff>
      <xdr:row>10</xdr:row>
      <xdr:rowOff>63500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8620C223-4592-FAF0-86DB-1F231E215067}"/>
            </a:ext>
          </a:extLst>
        </xdr:cNvPr>
        <xdr:cNvSpPr/>
      </xdr:nvSpPr>
      <xdr:spPr>
        <a:xfrm>
          <a:off x="635000" y="241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⚽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Nomad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$17,434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85725</xdr:rowOff>
    </xdr:to>
    <xdr:sp macro="GoToHome" textlink="">
      <xdr:nvSpPr>
        <xdr:cNvPr id="6" name="矩形: 圓角 5">
          <a:extLst>
            <a:ext uri="{FF2B5EF4-FFF2-40B4-BE49-F238E27FC236}">
              <a16:creationId xmlns:a16="http://schemas.microsoft.com/office/drawing/2014/main" id="{3D81BA39-43F7-4D61-0992-C70897180711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B84348D-1E7F-4076-97DC-776D0F934252}" name="表格16" displayName="表格16" ref="A3:M12" totalsRowShown="0" headerRowDxfId="186" dataDxfId="187">
  <autoFilter ref="A3:M12" xr:uid="{6B84348D-1E7F-4076-97DC-776D0F934252}"/>
  <tableColumns count="13">
    <tableColumn id="1" xr3:uid="{80E6916D-986F-45F2-A0D6-7260F331990D}" name="expenseId" dataDxfId="200"/>
    <tableColumn id="2" xr3:uid="{6F98C6F1-B9A4-49B8-A1A9-40186A5ACC70}" name="date" dataDxfId="199"/>
    <tableColumn id="3" xr3:uid="{D1E36E27-8795-48EC-A1D4-EDD6B78C9CC1}" name="category" dataDxfId="198"/>
    <tableColumn id="4" xr3:uid="{7E5E4426-38F6-4328-B9CF-C87D6EBDA73A}" name="description" dataDxfId="197"/>
    <tableColumn id="5" xr3:uid="{C7AC0466-C0AA-4F93-B02B-1EC81C759F51}" name="amount" dataDxfId="196"/>
    <tableColumn id="6" xr3:uid="{1F386FB8-DC85-4B84-AD33-4766255CFC8E}" name="currency" dataDxfId="195"/>
    <tableColumn id="7" xr3:uid="{4649BAF6-F538-4DB3-800B-7A61EF9845F2}" name="appliedRate" dataDxfId="194"/>
    <tableColumn id="8" xr3:uid="{CD62505F-A4D2-4BF4-BAC1-C969B7E98C5A}" name="twdEquivalent" dataDxfId="193"/>
    <tableColumn id="9" xr3:uid="{E89FFBCC-B7F5-42D1-972F-4F85BD00A892}" name="payerUID" dataDxfId="192"/>
    <tableColumn id="10" xr3:uid="{00AE594F-69FE-4240-8C88-040C875AD88C}" name="shares" dataDxfId="191"/>
    <tableColumn id="11" xr3:uid="{123AEE6D-E28F-43C9-AAD4-C5B95371BD98}" name="paymentMethod" dataDxfId="190"/>
    <tableColumn id="12" xr3:uid="{94ABAE9D-7CF0-46E6-8F2F-5386B23521BB}" name="walletId" dataDxfId="189"/>
    <tableColumn id="13" xr3:uid="{A25A67D0-460E-46D0-BDDF-77E7A9311D61}" name="notes" dataDxfId="1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2562120-5769-41A9-A165-829842BE50FA}" name="表格17" displayName="表格17" ref="A3:G7" totalsRowShown="0" headerRowDxfId="177" dataDxfId="178">
  <autoFilter ref="A3:G7" xr:uid="{C2562120-5769-41A9-A165-829842BE50FA}"/>
  <tableColumns count="7">
    <tableColumn id="1" xr3:uid="{1789D075-4C2E-4F5C-AAED-34418AA5D15A}" name="walletId" dataDxfId="185"/>
    <tableColumn id="2" xr3:uid="{971AB0BA-9A0E-46BC-859F-5D1568BA4950}" name="ownerUID" dataDxfId="184"/>
    <tableColumn id="3" xr3:uid="{A56F3A5A-35DA-4ADF-915D-8DB51ACEF854}" name="currency" dataDxfId="183"/>
    <tableColumn id="4" xr3:uid="{3601D121-5D49-4C24-8ACA-FBA45418EF57}" name="originalAmount" dataDxfId="182"/>
    <tableColumn id="5" xr3:uid="{16979AEE-8214-4A5E-BB98-A686B33D933D}" name="balance" dataDxfId="181"/>
    <tableColumn id="6" xr3:uid="{094CAB1D-1B62-43C1-B609-BA1CA1A208E2}" name="rate" dataDxfId="180"/>
    <tableColumn id="7" xr3:uid="{DE06C28A-CB6B-454E-AB6E-0021F4C41CD5}" name="createdAt" dataDxfId="1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7C88781-0D2D-438F-9DD5-4C97062236DD}" name="表格18" displayName="表格18" ref="E4:I8" totalsRowShown="0">
  <autoFilter ref="E4:I8" xr:uid="{77C88781-0D2D-438F-9DD5-4C97062236DD}"/>
  <tableColumns count="5">
    <tableColumn id="1" xr3:uid="{BE8EBD6C-CE98-4002-9AD5-CB82311E7C8F}" name="錢包ID"/>
    <tableColumn id="2" xr3:uid="{EC430B4C-4A7B-42DD-AF6D-B0741BDBA187}" name="擁有者" dataDxfId="176"/>
    <tableColumn id="3" xr3:uid="{B6463831-DFFC-4C15-8E54-1AF4259DE67D}" name="幣別"/>
    <tableColumn id="4" xr3:uid="{D3A1C604-53B4-4B57-B951-8ADF1E71DEC2}" name="初始額度"/>
    <tableColumn id="5" xr3:uid="{1AE957F3-4648-49D5-BA56-BDCB6680F3AB}" name="匯率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E4C7C1-0C2C-4B11-95E3-0BBDB9E49D50}" name="表格19" displayName="表格19" ref="A3:L11" totalsRowCount="1" headerRowDxfId="170" dataDxfId="171">
  <autoFilter ref="A3:L10" xr:uid="{AEE4C7C1-0C2C-4B11-95E3-0BBDB9E49D50}"/>
  <tableColumns count="12">
    <tableColumn id="1" xr3:uid="{7826A016-384D-4065-99FF-61523F702A4F}" name="日期" totalsRowLabel="合計" dataDxfId="175" totalsRowDxfId="169"/>
    <tableColumn id="2" xr3:uid="{D6F5FA58-F0EF-4A78-96AA-0A9B2251BF8E}" name="屬性" dataDxfId="160" totalsRowDxfId="168"/>
    <tableColumn id="3" xr3:uid="{DD41E51D-EF6E-437D-8DEE-E5D3AA9004E7}" name="類別" dataDxfId="159" totalsRowDxfId="158"/>
    <tableColumn id="4" xr3:uid="{AE55F927-31E0-429C-8778-CF881A2219E4}" name="描述" dataDxfId="157" totalsRowDxfId="167"/>
    <tableColumn id="5" xr3:uid="{BC7CE9D2-07AC-498B-933E-F9572397C4AA}" name="支付者" dataDxfId="155" totalsRowDxfId="154"/>
    <tableColumn id="6" xr3:uid="{5BC1AF4A-500C-490F-AC6A-0FCED2820DA9}" name="方式" dataDxfId="156" totalsRowDxfId="166"/>
    <tableColumn id="7" xr3:uid="{B235D23A-5830-4E07-A9C2-36B95EF159D9}" name="原幣" dataDxfId="174" totalsRowDxfId="165"/>
    <tableColumn id="8" xr3:uid="{86EFEE38-682A-48D8-AEFF-6FB2A35E7F9D}" name="原幣額" totalsRowFunction="sum" dataDxfId="173" totalsRowDxfId="163"/>
    <tableColumn id="9" xr3:uid="{9E5F304C-87F3-4990-8360-E35A8579EABC}" name="匯率" dataDxfId="172" totalsRowDxfId="164"/>
    <tableColumn id="10" xr3:uid="{799D1385-F81A-4C15-874D-FF8502C067FC}" name="台幣總額" totalsRowFunction="sum" dataDxfId="153" totalsRowDxfId="162"/>
    <tableColumn id="11" xr3:uid="{CB6A8444-BFD8-4223-ACE7-35FBE8CE78F9}" name="分攤名單" dataDxfId="151" totalsRowDxfId="150"/>
    <tableColumn id="12" xr3:uid="{AFD4121B-8F6F-4758-B0C1-286485E597A8}" name="每人應攤" totalsRowFunction="sum" dataDxfId="152" totalsRowDxfId="1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A77657C-7BA9-405F-8310-D51888820101}" name="Tbl_Summary_Group_Details" displayName="Tbl_Summary_Group_Details" ref="N3:P8" totalsRowCount="1" headerRowDxfId="147" totalsRowDxfId="145" headerRowBorderDxfId="146" totalsRowBorderDxfId="144">
  <autoFilter ref="N3:P7" xr:uid="{9A77657C-7BA9-405F-8310-D51888820101}"/>
  <tableColumns count="3">
    <tableColumn id="1" xr3:uid="{81EFEF50-AE90-452F-8838-1C460943DCA5}" name="消費類別" totalsRowLabel="合計" totalsRowDxfId="143"/>
    <tableColumn id="2" xr3:uid="{9E6AF9C2-82AC-4E59-830E-13D06D53F0F4}" name="總金額" dataDxfId="149" totalsRowDxfId="142"/>
    <tableColumn id="3" xr3:uid="{36346F80-1D5A-414D-9764-EAD0BDA5BBAE}" name="佔比 (%)" totalsRowFunction="sum" dataDxfId="148" totalsRowDxfId="14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3714617-2529-48EA-8839-55421E94EB38}" name="表格21" displayName="表格21" ref="A4:F8" totalsRowCount="1" headerRowDxfId="136" dataDxfId="137">
  <autoFilter ref="A4:F7" xr:uid="{73714617-2529-48EA-8839-55421E94EB38}"/>
  <tableColumns count="6">
    <tableColumn id="1" xr3:uid="{BBDD2724-9507-48B2-B8E2-1DC4F9036814}" name="錢包ID" totalsRowLabel="合計" dataDxfId="140" totalsRowDxfId="135"/>
    <tableColumn id="2" xr3:uid="{D27FBB9A-6517-4DE7-AC6E-FAAFCC2213E8}" name="幣別" dataDxfId="107" totalsRowDxfId="134"/>
    <tableColumn id="3" xr3:uid="{2DE5A24F-B6B0-42F1-A81E-A60B0E9E759B}" name="初始額度" totalsRowFunction="sum" dataDxfId="105" totalsRowDxfId="104"/>
    <tableColumn id="4" xr3:uid="{E0EB5073-6D76-47EC-8F29-BFC64557A75B}" name="本表記錄流出" totalsRowFunction="sum" dataDxfId="106" totalsRowDxfId="132"/>
    <tableColumn id="5" xr3:uid="{3F309F21-AC70-469E-A1AA-067553458110}" name="結算估計剩餘" totalsRowFunction="sum" dataDxfId="139" totalsRowDxfId="131"/>
    <tableColumn id="6" xr3:uid="{2BBCE734-CD21-4072-A50C-3A596BD1C5C9}" name="匯率" totalsRowFunction="sum" dataDxfId="138" totalsRowDxfId="1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0AB72C1-12C5-4A18-9399-F25803BBE9B3}" name="表格22" displayName="表格22" ref="A11:E12" totalsRowShown="0" headerRowDxfId="128" dataDxfId="129">
  <autoFilter ref="A11:E12" xr:uid="{A0AB72C1-12C5-4A18-9399-F25803BBE9B3}"/>
  <tableColumns count="5">
    <tableColumn id="1" xr3:uid="{94977EE0-F4BF-45C4-9742-0D83E93BA881}" name="總代墊(A)" dataDxfId="130"/>
    <tableColumn id="2" xr3:uid="{A23110DA-0FBA-4B49-9737-31BFBE0DE50D}" name="應攤總負擔(B)" dataDxfId="103"/>
    <tableColumn id="3" xr3:uid="{1AA1B2B1-6BAD-4F83-B4A6-A82F6406A998}" name="公帳分回(C)" dataDxfId="101"/>
    <tableColumn id="4" xr3:uid="{9D843A95-9D7A-4ED1-9E0E-EC6D71E0C56B}" name="公款殘值退回(D)" dataDxfId="102"/>
    <tableColumn id="5" xr3:uid="{6C11F4A3-ABD4-400C-A89C-4EB60F502383}" name="淨應收/補狀態" dataDxfId="1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304C097-840A-474D-B8A8-86A789173052}" name="表格23" displayName="表格23" ref="A15:K23" totalsRowCount="1" headerRowDxfId="117" dataDxfId="118">
  <autoFilter ref="A15:K22" xr:uid="{0304C097-840A-474D-B8A8-86A789173052}"/>
  <tableColumns count="11">
    <tableColumn id="1" xr3:uid="{46425EF1-5D8B-4BE4-83FA-5BB18A07480A}" name="日期" totalsRowLabel="合計" dataDxfId="126" totalsRowDxfId="116"/>
    <tableColumn id="2" xr3:uid="{1276B647-FA6A-46B1-AD8E-8FF7CDA6FCF6}" name="屬性"/>
    <tableColumn id="3" xr3:uid="{16E73D0C-BD0D-42F4-9455-D375077A031F}" name="類別" dataDxfId="99" totalsRowDxfId="98"/>
    <tableColumn id="4" xr3:uid="{D04FA532-8C85-4A72-8E06-AEB56447273E}" name="描述" dataDxfId="100" totalsRowDxfId="115"/>
    <tableColumn id="5" xr3:uid="{A82BFBF0-15C5-4044-8E2D-1739A080DD0C}" name="方式" dataDxfId="125" totalsRowDxfId="114"/>
    <tableColumn id="6" xr3:uid="{E9B600A3-4AEC-4F02-ADCE-A04B97BF4F07}" name="原幣" dataDxfId="124" totalsRowDxfId="113"/>
    <tableColumn id="7" xr3:uid="{9506DF7A-7B8E-498F-8F09-56CA7ECB5A8B}" name="原幣額" dataDxfId="123" totalsRowDxfId="112"/>
    <tableColumn id="8" xr3:uid="{65231089-EBF5-4B95-BC6B-8C88BA5C04F6}" name="匯率" dataDxfId="122" totalsRowDxfId="111"/>
    <tableColumn id="9" xr3:uid="{490C215B-52D0-4BC2-9094-781CE91A59A7}" name="台幣總額" totalsRowFunction="sum" dataDxfId="121" totalsRowDxfId="110"/>
    <tableColumn id="10" xr3:uid="{7A5AC048-934F-49F5-842A-CEBB7F221EA2}" name="我的負擔" totalsRowFunction="sum" dataDxfId="120" totalsRowDxfId="109"/>
    <tableColumn id="11" xr3:uid="{A0746AC8-204B-4046-83B1-FFC48A72FAFA}" name="代墊債權" totalsRowFunction="sum" dataDxfId="119" totalsRowDxfId="10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833806D-0D83-46C8-B861-CF0BD669FAED}" name="Tbl_Summary_PS_Smile" displayName="Tbl_Summary_PS_Smile" ref="M15:O19" totalsRowCount="1" headerRowDxfId="95" totalsRowDxfId="93" headerRowBorderDxfId="94" totalsRowBorderDxfId="92">
  <autoFilter ref="M15:O18" xr:uid="{4833806D-0D83-46C8-B861-CF0BD669FAED}"/>
  <tableColumns count="3">
    <tableColumn id="1" xr3:uid="{84334FCC-F6A0-45B4-AC43-9D232415E248}" name="消費類別" totalsRowLabel="合計" totalsRowDxfId="91"/>
    <tableColumn id="2" xr3:uid="{2C4DB85F-D848-40B7-A4C8-991BFA03E80B}" name="總金額" dataDxfId="97" totalsRowDxfId="90"/>
    <tableColumn id="3" xr3:uid="{44DC89CA-3670-4A2E-B05F-C13651CBADE8}" name="佔比 (%)" totalsRowFunction="sum" dataDxfId="96" totalsRowDxfId="8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5AC875A-EC19-4041-8F6C-22B2F6C03469}" name="表格25" displayName="表格25" ref="A8:E9" totalsRowShown="0" headerRowDxfId="86" dataDxfId="87">
  <autoFilter ref="A8:E9" xr:uid="{75AC875A-EC19-4041-8F6C-22B2F6C03469}"/>
  <tableColumns count="5">
    <tableColumn id="1" xr3:uid="{0DD0DD34-4C17-403D-816B-18EAA0880893}" name="總代墊(A)" dataDxfId="88"/>
    <tableColumn id="2" xr3:uid="{F33067B7-ADF2-42E3-B2BF-3900BF1B0A3F}" name="應攤總負擔(B)" dataDxfId="64"/>
    <tableColumn id="3" xr3:uid="{3D66C7BA-DF78-4347-8599-A84E1B94061A}" name="公帳分回(C)" dataDxfId="62"/>
    <tableColumn id="4" xr3:uid="{7F7330EA-A273-486F-B5FF-68459C1C55AE}" name="公款殘值退回(D)" dataDxfId="63"/>
    <tableColumn id="5" xr3:uid="{1005579D-21E0-4840-9B39-8DABE272B4A9}" name="淨應收/補狀態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59E49DB-7AAA-4389-9BD9-CFBD0E952A7C}" name="表格26" displayName="表格26" ref="A12:K18" totalsRowCount="1" headerRowDxfId="75" dataDxfId="76">
  <autoFilter ref="A12:K17" xr:uid="{759E49DB-7AAA-4389-9BD9-CFBD0E952A7C}"/>
  <tableColumns count="11">
    <tableColumn id="1" xr3:uid="{2CECEC98-B953-486C-824E-65D9A88C24E3}" name="日期" totalsRowLabel="合計" dataDxfId="84" totalsRowDxfId="74"/>
    <tableColumn id="2" xr3:uid="{4B955EEE-13BC-4DA9-B65A-7C5BE600BCB0}" name="屬性" dataDxfId="61" totalsRowDxfId="73"/>
    <tableColumn id="3" xr3:uid="{F5850FBC-8DF5-4B47-B559-4CC1CCF72BD0}" name="類別" dataDxfId="59" totalsRowDxfId="58"/>
    <tableColumn id="4" xr3:uid="{85510440-4C22-4833-B0A8-0B5BB5375C3E}" name="描述" dataDxfId="60" totalsRowDxfId="72"/>
    <tableColumn id="5" xr3:uid="{FD48C561-3E04-4682-9D20-6A045FD24C2C}" name="方式" dataDxfId="83" totalsRowDxfId="71"/>
    <tableColumn id="6" xr3:uid="{99751168-B183-4939-9C62-E9D34ED6FD58}" name="原幣" dataDxfId="82" totalsRowDxfId="70"/>
    <tableColumn id="7" xr3:uid="{D402DD73-8891-46F0-B86F-8D209722521F}" name="原幣額" dataDxfId="81" totalsRowDxfId="69"/>
    <tableColumn id="8" xr3:uid="{B8FA9E09-BCC7-4468-864C-FDB74B63206D}" name="匯率" dataDxfId="80" totalsRowDxfId="68"/>
    <tableColumn id="9" xr3:uid="{247E772D-34D9-4726-8AE4-88CC7D9A60F7}" name="台幣總額" totalsRowFunction="sum" dataDxfId="79" totalsRowDxfId="67"/>
    <tableColumn id="10" xr3:uid="{B3F771BE-E0FE-4EC8-8942-FCA7408A2A49}" name="我的負擔" totalsRowFunction="sum" dataDxfId="78" totalsRowDxfId="66"/>
    <tableColumn id="11" xr3:uid="{56B916DC-E423-4B3F-B2B5-6BB1371F5B0E}" name="代墊債權" totalsRowFunction="sum" dataDxfId="77" totalsRowDxfId="6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E22466A-D545-4376-BB6D-8276032A2667}" name="Tbl_Summary_PS_可愛的" displayName="Tbl_Summary_PS_可愛的" ref="M12:O16" totalsRowCount="1" headerRowDxfId="55" totalsRowDxfId="53" headerRowBorderDxfId="54" totalsRowBorderDxfId="52">
  <autoFilter ref="M12:O15" xr:uid="{2E22466A-D545-4376-BB6D-8276032A2667}"/>
  <tableColumns count="3">
    <tableColumn id="1" xr3:uid="{A1EFD85A-ECE0-484D-8656-11C14EB0AC5A}" name="消費類別" totalsRowLabel="合計" totalsRowDxfId="51"/>
    <tableColumn id="2" xr3:uid="{9E5DDDC1-233D-497E-8581-E44F9A823EF3}" name="總金額" dataDxfId="57" totalsRowDxfId="50"/>
    <tableColumn id="3" xr3:uid="{9293269A-5E1E-4848-B1C7-0D926ED8DF83}" name="佔比 (%)" totalsRowFunction="sum" dataDxfId="56" totalsRowDxfId="49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CEBDD39-C79B-40BF-8A01-D1F64ACC9B5D}" name="表格28" displayName="表格28" ref="A8:E9" totalsRowShown="0" headerRowDxfId="46" dataDxfId="47">
  <autoFilter ref="A8:E9" xr:uid="{8CEBDD39-C79B-40BF-8A01-D1F64ACC9B5D}"/>
  <tableColumns count="5">
    <tableColumn id="1" xr3:uid="{F9423B86-D900-43D6-8938-7931550F5127}" name="總代墊(A)" dataDxfId="48"/>
    <tableColumn id="2" xr3:uid="{FF240E05-2FAE-4599-9470-6E404A642B13}" name="應攤總負擔(B)" dataDxfId="24"/>
    <tableColumn id="3" xr3:uid="{9CA4CA13-2B43-411B-954F-C742E8773B9A}" name="公帳分回(C)" dataDxfId="22"/>
    <tableColumn id="4" xr3:uid="{350B2CA6-8941-435E-8605-E3F8DDD5D06B}" name="公款殘值退回(D)" dataDxfId="23"/>
    <tableColumn id="5" xr3:uid="{04EC6569-06A8-415D-A21A-15927381847B}" name="淨應收/補狀態" dataDxfId="4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4021B0A-D3BD-4C86-8E19-18033D048F06}" name="表格29" displayName="表格29" ref="A12:K15" totalsRowCount="1" headerRowDxfId="35" dataDxfId="36">
  <autoFilter ref="A12:K14" xr:uid="{E4021B0A-D3BD-4C86-8E19-18033D048F06}"/>
  <tableColumns count="11">
    <tableColumn id="1" xr3:uid="{A581F214-386F-4F60-82DC-986C52E89799}" name="日期" totalsRowLabel="合計" dataDxfId="44" totalsRowDxfId="34"/>
    <tableColumn id="2" xr3:uid="{749E4EFC-ABC1-4BD7-A15B-32A6F0C97637}" name="屬性" dataDxfId="21" totalsRowDxfId="33"/>
    <tableColumn id="3" xr3:uid="{EFF05F64-799C-401E-8D17-7459C19CE0C7}" name="類別" dataDxfId="19" totalsRowDxfId="18"/>
    <tableColumn id="4" xr3:uid="{0ABD12C7-0820-419A-9AA3-F8C723C9D0C8}" name="描述" dataDxfId="20" totalsRowDxfId="32"/>
    <tableColumn id="5" xr3:uid="{09C9CF9E-E953-48B0-95F0-F3DF87D18D33}" name="方式" dataDxfId="43" totalsRowDxfId="31"/>
    <tableColumn id="6" xr3:uid="{8621EC0E-23D0-4127-B0FC-BA29286D937F}" name="原幣" dataDxfId="42" totalsRowDxfId="30"/>
    <tableColumn id="7" xr3:uid="{C9626DD5-AFC7-4BCF-8AA4-01C2773959B8}" name="原幣額" dataDxfId="41" totalsRowDxfId="29"/>
    <tableColumn id="8" xr3:uid="{52670453-E65A-4221-929D-95E9045073E0}" name="匯率" dataDxfId="40" totalsRowDxfId="28"/>
    <tableColumn id="9" xr3:uid="{403846DE-C492-430C-9695-37BDD8DC91A9}" name="台幣總額" totalsRowFunction="sum" dataDxfId="39" totalsRowDxfId="27"/>
    <tableColumn id="10" xr3:uid="{7304D698-232B-4C05-89EB-36C3FC3CF64A}" name="我的負擔" totalsRowFunction="sum" dataDxfId="38" totalsRowDxfId="26"/>
    <tableColumn id="11" xr3:uid="{4A904ACD-0B1F-407F-8D8A-3B6F56ABD657}" name="代墊債權" totalsRowFunction="sum" dataDxfId="37" totalsRowDxfId="2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6B94251-7A48-4CE6-9513-B45FCEA71833}" name="Tbl_Summary_PS_Nomad" displayName="Tbl_Summary_PS_Nomad" ref="M12:O15" totalsRowCount="1" headerRowDxfId="15" totalsRowDxfId="13" headerRowBorderDxfId="14" totalsRowBorderDxfId="12">
  <autoFilter ref="M12:O14" xr:uid="{D6B94251-7A48-4CE6-9513-B45FCEA71833}"/>
  <tableColumns count="3">
    <tableColumn id="1" xr3:uid="{0FF29784-3587-4B39-982E-1E38CB650557}" name="消費類別" totalsRowLabel="合計" totalsRowDxfId="11"/>
    <tableColumn id="2" xr3:uid="{F4ADFA4B-63F7-4DED-A1B9-83FD8F3E7276}" name="總金額" dataDxfId="17" totalsRowDxfId="10"/>
    <tableColumn id="3" xr3:uid="{2A05F0A1-BE99-4E52-8FAC-94BC29BD017A}" name="佔比 (%)" totalsRowFunction="sum" dataDxfId="16" totalsRowDxfId="9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5DE58BF-DA1B-4294-AF58-A882489D0905}" name="表格31" displayName="表格31" ref="B12:H15" totalsRowShown="0" headerRowDxfId="4" dataDxfId="5">
  <autoFilter ref="B12:H15" xr:uid="{65DE58BF-DA1B-4294-AF58-A882489D0905}"/>
  <tableColumns count="7">
    <tableColumn id="1" xr3:uid="{8BA258DE-FC2C-4DD6-8782-B98E6973C0A8}" name="成員" dataDxfId="2"/>
    <tableColumn id="2" xr3:uid="{DAF899B8-E628-496E-8863-1A59D85210AA}" name="預繳/代墊(A)" dataDxfId="3"/>
    <tableColumn id="3" xr3:uid="{02820197-8DC6-4BA4-B39C-522C67E1BD08}" name="應攤總額(B)" dataDxfId="8"/>
    <tableColumn id="4" xr3:uid="{08557F39-31EF-48A5-9675-2ED7A60495B4}" name="公帳分回(C)" dataDxfId="7"/>
    <tableColumn id="5" xr3:uid="{EAAB684F-34B1-4552-82F0-A67B5C8BEC17}" name="公款殘值退回(D)" dataDxfId="6"/>
    <tableColumn id="6" xr3:uid="{3726289D-F6E4-49B7-8EFD-D60FD8EE06DB}" name="最終應收/補" dataDxfId="1"/>
    <tableColumn id="7" xr3:uid="{D2968D5C-441C-4AAF-8E1C-B59AABAEC1AE}" name="狀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9.xml"/><Relationship Id="rId4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Relationship Id="rId4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A943-B5BD-4470-9C00-D50AD4B8F8BD}">
  <sheetPr codeName="工作表1"/>
  <dimension ref="A1:N10"/>
  <sheetViews>
    <sheetView workbookViewId="0"/>
  </sheetViews>
  <sheetFormatPr defaultRowHeight="16.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83</v>
      </c>
      <c r="B2" s="2">
        <v>46071.460416666669</v>
      </c>
      <c r="C2" t="s">
        <v>84</v>
      </c>
      <c r="D2" t="s">
        <v>82</v>
      </c>
      <c r="E2">
        <v>2000</v>
      </c>
      <c r="F2" t="s">
        <v>17</v>
      </c>
      <c r="G2">
        <v>33</v>
      </c>
      <c r="H2">
        <v>66000</v>
      </c>
      <c r="I2" t="s">
        <v>18</v>
      </c>
      <c r="J2" t="s">
        <v>19</v>
      </c>
      <c r="K2" t="s">
        <v>34</v>
      </c>
      <c r="L2" t="s">
        <v>80</v>
      </c>
      <c r="N2">
        <v>3</v>
      </c>
    </row>
    <row r="3" spans="1:14" x14ac:dyDescent="0.25">
      <c r="A3" t="s">
        <v>14</v>
      </c>
      <c r="B3" s="2">
        <v>46066.722916666666</v>
      </c>
      <c r="C3" t="s">
        <v>15</v>
      </c>
      <c r="D3" t="s">
        <v>16</v>
      </c>
      <c r="E3">
        <v>72</v>
      </c>
      <c r="F3" t="s">
        <v>17</v>
      </c>
      <c r="G3">
        <v>34.799999999999997</v>
      </c>
      <c r="H3">
        <v>2505.6</v>
      </c>
      <c r="I3" t="s">
        <v>18</v>
      </c>
      <c r="J3" t="s">
        <v>19</v>
      </c>
      <c r="K3" t="s">
        <v>20</v>
      </c>
      <c r="N3">
        <v>3</v>
      </c>
    </row>
    <row r="4" spans="1:14" x14ac:dyDescent="0.25">
      <c r="A4" t="s">
        <v>21</v>
      </c>
      <c r="B4" s="2">
        <v>46070.718055555553</v>
      </c>
      <c r="C4" t="s">
        <v>22</v>
      </c>
      <c r="D4" t="s">
        <v>23</v>
      </c>
      <c r="E4">
        <v>502</v>
      </c>
      <c r="F4" t="s">
        <v>24</v>
      </c>
      <c r="G4">
        <v>31.5</v>
      </c>
      <c r="H4">
        <v>15813</v>
      </c>
      <c r="I4" t="s">
        <v>25</v>
      </c>
      <c r="J4" t="s">
        <v>26</v>
      </c>
      <c r="K4" t="s">
        <v>20</v>
      </c>
      <c r="N4">
        <v>2</v>
      </c>
    </row>
    <row r="5" spans="1:14" x14ac:dyDescent="0.25">
      <c r="A5" t="s">
        <v>27</v>
      </c>
      <c r="B5" s="2">
        <v>46070.717361111114</v>
      </c>
      <c r="C5" t="s">
        <v>15</v>
      </c>
      <c r="D5" t="s">
        <v>28</v>
      </c>
      <c r="E5">
        <v>5001</v>
      </c>
      <c r="F5" t="s">
        <v>24</v>
      </c>
      <c r="G5">
        <v>31.5</v>
      </c>
      <c r="H5">
        <v>157531.5</v>
      </c>
      <c r="I5" t="s">
        <v>25</v>
      </c>
      <c r="J5" t="s">
        <v>26</v>
      </c>
      <c r="K5" t="s">
        <v>20</v>
      </c>
      <c r="N5">
        <v>2</v>
      </c>
    </row>
    <row r="6" spans="1:14" x14ac:dyDescent="0.25">
      <c r="A6" t="s">
        <v>29</v>
      </c>
      <c r="B6" s="2">
        <v>46063.490972222222</v>
      </c>
      <c r="C6" t="s">
        <v>30</v>
      </c>
      <c r="D6" t="s">
        <v>31</v>
      </c>
      <c r="E6">
        <v>400</v>
      </c>
      <c r="F6" t="s">
        <v>32</v>
      </c>
      <c r="G6">
        <v>0.33</v>
      </c>
      <c r="H6">
        <v>132</v>
      </c>
      <c r="I6" t="s">
        <v>33</v>
      </c>
      <c r="J6" t="s">
        <v>33</v>
      </c>
      <c r="K6" t="s">
        <v>34</v>
      </c>
      <c r="L6" t="s">
        <v>35</v>
      </c>
      <c r="N6">
        <v>1</v>
      </c>
    </row>
    <row r="7" spans="1:14" x14ac:dyDescent="0.25">
      <c r="A7" t="s">
        <v>36</v>
      </c>
      <c r="B7" s="2">
        <v>46063.490972222222</v>
      </c>
      <c r="C7" t="s">
        <v>15</v>
      </c>
      <c r="D7" t="s">
        <v>37</v>
      </c>
      <c r="E7">
        <v>500</v>
      </c>
      <c r="F7" t="s">
        <v>32</v>
      </c>
      <c r="G7">
        <v>0.33</v>
      </c>
      <c r="H7">
        <v>165</v>
      </c>
      <c r="I7" t="s">
        <v>33</v>
      </c>
      <c r="J7" t="s">
        <v>33</v>
      </c>
      <c r="K7" t="s">
        <v>34</v>
      </c>
      <c r="L7" t="s">
        <v>35</v>
      </c>
      <c r="N7">
        <v>1</v>
      </c>
    </row>
    <row r="8" spans="1:14" x14ac:dyDescent="0.25">
      <c r="A8" t="s">
        <v>38</v>
      </c>
      <c r="B8" s="2">
        <v>46063.490277777775</v>
      </c>
      <c r="C8" t="s">
        <v>15</v>
      </c>
      <c r="D8" t="s">
        <v>39</v>
      </c>
      <c r="E8">
        <v>700</v>
      </c>
      <c r="F8" t="s">
        <v>24</v>
      </c>
      <c r="G8">
        <v>40</v>
      </c>
      <c r="H8">
        <v>28000</v>
      </c>
      <c r="I8" t="s">
        <v>18</v>
      </c>
      <c r="J8" t="s">
        <v>26</v>
      </c>
      <c r="K8" t="s">
        <v>34</v>
      </c>
      <c r="L8" t="s">
        <v>40</v>
      </c>
      <c r="N8">
        <v>2</v>
      </c>
    </row>
    <row r="9" spans="1:14" x14ac:dyDescent="0.25">
      <c r="A9" t="s">
        <v>41</v>
      </c>
      <c r="B9" s="2">
        <v>46063.489583333336</v>
      </c>
      <c r="C9" t="s">
        <v>15</v>
      </c>
      <c r="D9" t="s">
        <v>42</v>
      </c>
      <c r="E9">
        <v>35</v>
      </c>
      <c r="F9" t="s">
        <v>24</v>
      </c>
      <c r="G9">
        <v>31.5</v>
      </c>
      <c r="H9">
        <v>1102.5</v>
      </c>
      <c r="I9" t="s">
        <v>18</v>
      </c>
      <c r="J9" t="s">
        <v>18</v>
      </c>
      <c r="K9" t="s">
        <v>20</v>
      </c>
      <c r="N9">
        <v>1</v>
      </c>
    </row>
    <row r="10" spans="1:14" x14ac:dyDescent="0.25">
      <c r="A10" t="s">
        <v>43</v>
      </c>
      <c r="B10" s="2">
        <v>46063.489583333336</v>
      </c>
      <c r="C10" t="s">
        <v>15</v>
      </c>
      <c r="D10" t="s">
        <v>44</v>
      </c>
      <c r="E10">
        <v>500</v>
      </c>
      <c r="F10" t="s">
        <v>24</v>
      </c>
      <c r="G10">
        <v>31.5</v>
      </c>
      <c r="H10">
        <v>15750</v>
      </c>
      <c r="I10" t="s">
        <v>18</v>
      </c>
      <c r="J10" t="s">
        <v>18</v>
      </c>
      <c r="K10" t="s">
        <v>20</v>
      </c>
      <c r="N10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7A8-9383-4447-9B30-99742E3380D8}">
  <sheetPr codeName="工作表2"/>
  <dimension ref="A1:G5"/>
  <sheetViews>
    <sheetView workbookViewId="0"/>
  </sheetViews>
  <sheetFormatPr defaultRowHeight="16.5" x14ac:dyDescent="0.25"/>
  <sheetData>
    <row r="1" spans="1:7" x14ac:dyDescent="0.25">
      <c r="A1" t="s">
        <v>11</v>
      </c>
      <c r="B1" t="s">
        <v>45</v>
      </c>
      <c r="C1" t="s">
        <v>5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5">
      <c r="A2" t="s">
        <v>40</v>
      </c>
      <c r="B2" t="s">
        <v>18</v>
      </c>
      <c r="C2" t="s">
        <v>24</v>
      </c>
      <c r="D2">
        <v>50000</v>
      </c>
      <c r="E2">
        <v>49300</v>
      </c>
      <c r="F2">
        <v>40</v>
      </c>
      <c r="G2" t="s">
        <v>50</v>
      </c>
    </row>
    <row r="3" spans="1:7" x14ac:dyDescent="0.25">
      <c r="A3" t="s">
        <v>35</v>
      </c>
      <c r="B3" t="s">
        <v>33</v>
      </c>
      <c r="C3" t="s">
        <v>32</v>
      </c>
      <c r="D3">
        <v>50000</v>
      </c>
      <c r="E3">
        <v>49100</v>
      </c>
      <c r="F3">
        <v>0.33</v>
      </c>
      <c r="G3" t="s">
        <v>51</v>
      </c>
    </row>
    <row r="4" spans="1:7" x14ac:dyDescent="0.25">
      <c r="A4" t="s">
        <v>79</v>
      </c>
      <c r="B4" t="s">
        <v>18</v>
      </c>
      <c r="C4" t="s">
        <v>32</v>
      </c>
      <c r="D4">
        <v>56000</v>
      </c>
      <c r="E4">
        <v>56000</v>
      </c>
      <c r="F4">
        <v>0.35</v>
      </c>
      <c r="G4" t="s">
        <v>85</v>
      </c>
    </row>
    <row r="5" spans="1:7" x14ac:dyDescent="0.25">
      <c r="A5" t="s">
        <v>80</v>
      </c>
      <c r="B5" t="s">
        <v>18</v>
      </c>
      <c r="C5" t="s">
        <v>17</v>
      </c>
      <c r="D5">
        <v>70000</v>
      </c>
      <c r="E5">
        <v>68000</v>
      </c>
      <c r="F5">
        <v>33</v>
      </c>
      <c r="G5" t="s">
        <v>86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0E1D-E449-40C0-AEDB-381046B45B92}">
  <sheetPr codeName="工作表47"/>
  <dimension ref="A1:Z100"/>
  <sheetViews>
    <sheetView topLeftCell="A11" workbookViewId="0">
      <selection activeCell="L28" sqref="L28"/>
    </sheetView>
  </sheetViews>
  <sheetFormatPr defaultRowHeight="17.25" x14ac:dyDescent="0.25"/>
  <cols>
    <col min="1" max="2" width="9" style="1"/>
    <col min="3" max="3" width="93.125" style="1" bestFit="1" customWidth="1"/>
    <col min="4" max="16384" width="9" style="1"/>
  </cols>
  <sheetData>
    <row r="1" spans="1:26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ht="38.25" x14ac:dyDescent="0.25">
      <c r="A3" s="17"/>
      <c r="B3" s="17"/>
      <c r="C3" s="18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9544-D921-4ADC-9E71-3145AEA365B7}">
  <sheetPr codeName="工作表9"/>
  <dimension ref="A3:M12"/>
  <sheetViews>
    <sheetView workbookViewId="0"/>
  </sheetViews>
  <sheetFormatPr defaultRowHeight="22.5" x14ac:dyDescent="0.25"/>
  <cols>
    <col min="1" max="1" width="16.625" style="4" customWidth="1"/>
    <col min="2" max="2" width="24.75" style="4" bestFit="1" customWidth="1"/>
    <col min="3" max="3" width="16" style="4" bestFit="1" customWidth="1"/>
    <col min="4" max="4" width="19.875" style="4" bestFit="1" customWidth="1"/>
    <col min="5" max="5" width="14" style="4" bestFit="1" customWidth="1"/>
    <col min="6" max="6" width="16" style="4" bestFit="1" customWidth="1"/>
    <col min="7" max="7" width="20.5" style="4" bestFit="1" customWidth="1"/>
    <col min="8" max="8" width="23.875" style="4" bestFit="1" customWidth="1"/>
    <col min="9" max="9" width="16.875" style="4" bestFit="1" customWidth="1"/>
    <col min="10" max="10" width="24.25" style="4" bestFit="1" customWidth="1"/>
    <col min="11" max="11" width="26.375" style="4" bestFit="1" customWidth="1"/>
    <col min="12" max="12" width="26.625" style="4" bestFit="1" customWidth="1"/>
    <col min="13" max="13" width="11.375" style="4" bestFit="1" customWidth="1"/>
    <col min="14" max="16384" width="9" style="4"/>
  </cols>
  <sheetData>
    <row r="3" spans="1:13" x14ac:dyDescent="0.25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</row>
    <row r="4" spans="1:13" x14ac:dyDescent="0.25">
      <c r="A4" s="4" t="s">
        <v>83</v>
      </c>
      <c r="B4" s="5">
        <v>46071.460416666669</v>
      </c>
      <c r="C4" s="4" t="s">
        <v>84</v>
      </c>
      <c r="D4" s="4" t="s">
        <v>82</v>
      </c>
      <c r="E4" s="4">
        <v>2000</v>
      </c>
      <c r="F4" s="4" t="s">
        <v>17</v>
      </c>
      <c r="G4" s="4">
        <v>33</v>
      </c>
      <c r="H4" s="4">
        <v>66000</v>
      </c>
      <c r="I4" s="4" t="s">
        <v>18</v>
      </c>
      <c r="J4" s="4" t="s">
        <v>19</v>
      </c>
      <c r="K4" s="4" t="s">
        <v>34</v>
      </c>
      <c r="L4" s="4" t="s">
        <v>80</v>
      </c>
    </row>
    <row r="5" spans="1:13" x14ac:dyDescent="0.25">
      <c r="A5" s="4" t="s">
        <v>14</v>
      </c>
      <c r="B5" s="5">
        <v>46066.722916666666</v>
      </c>
      <c r="C5" s="4" t="s">
        <v>15</v>
      </c>
      <c r="D5" s="4" t="s">
        <v>16</v>
      </c>
      <c r="E5" s="4">
        <v>72</v>
      </c>
      <c r="F5" s="4" t="s">
        <v>17</v>
      </c>
      <c r="G5" s="4">
        <v>34.799999999999997</v>
      </c>
      <c r="H5" s="4">
        <v>2505.6</v>
      </c>
      <c r="I5" s="4" t="s">
        <v>18</v>
      </c>
      <c r="J5" s="4" t="s">
        <v>19</v>
      </c>
      <c r="K5" s="4" t="s">
        <v>20</v>
      </c>
    </row>
    <row r="6" spans="1:13" x14ac:dyDescent="0.25">
      <c r="A6" s="4" t="s">
        <v>21</v>
      </c>
      <c r="B6" s="5">
        <v>46070.718055555553</v>
      </c>
      <c r="C6" s="4" t="s">
        <v>22</v>
      </c>
      <c r="D6" s="4" t="s">
        <v>23</v>
      </c>
      <c r="E6" s="4">
        <v>502</v>
      </c>
      <c r="F6" s="4" t="s">
        <v>24</v>
      </c>
      <c r="G6" s="4">
        <v>31.5</v>
      </c>
      <c r="H6" s="4">
        <v>15813</v>
      </c>
      <c r="I6" s="4" t="s">
        <v>25</v>
      </c>
      <c r="J6" s="4" t="s">
        <v>26</v>
      </c>
      <c r="K6" s="4" t="s">
        <v>20</v>
      </c>
    </row>
    <row r="7" spans="1:13" x14ac:dyDescent="0.25">
      <c r="A7" s="4" t="s">
        <v>27</v>
      </c>
      <c r="B7" s="5">
        <v>46070.717361111114</v>
      </c>
      <c r="C7" s="4" t="s">
        <v>15</v>
      </c>
      <c r="D7" s="4" t="s">
        <v>28</v>
      </c>
      <c r="E7" s="4">
        <v>5001</v>
      </c>
      <c r="F7" s="4" t="s">
        <v>24</v>
      </c>
      <c r="G7" s="4">
        <v>31.5</v>
      </c>
      <c r="H7" s="4">
        <v>157531.5</v>
      </c>
      <c r="I7" s="4" t="s">
        <v>25</v>
      </c>
      <c r="J7" s="4" t="s">
        <v>26</v>
      </c>
      <c r="K7" s="4" t="s">
        <v>20</v>
      </c>
    </row>
    <row r="8" spans="1:13" x14ac:dyDescent="0.25">
      <c r="A8" s="4" t="s">
        <v>29</v>
      </c>
      <c r="B8" s="5">
        <v>46063.490972222222</v>
      </c>
      <c r="C8" s="4" t="s">
        <v>30</v>
      </c>
      <c r="D8" s="4" t="s">
        <v>31</v>
      </c>
      <c r="E8" s="4">
        <v>400</v>
      </c>
      <c r="F8" s="4" t="s">
        <v>32</v>
      </c>
      <c r="G8" s="4">
        <v>0.33</v>
      </c>
      <c r="H8" s="4">
        <v>132</v>
      </c>
      <c r="I8" s="4" t="s">
        <v>33</v>
      </c>
      <c r="J8" s="4" t="s">
        <v>33</v>
      </c>
      <c r="K8" s="4" t="s">
        <v>34</v>
      </c>
      <c r="L8" s="4" t="s">
        <v>35</v>
      </c>
    </row>
    <row r="9" spans="1:13" x14ac:dyDescent="0.25">
      <c r="A9" s="4" t="s">
        <v>36</v>
      </c>
      <c r="B9" s="5">
        <v>46063.490972222222</v>
      </c>
      <c r="C9" s="4" t="s">
        <v>15</v>
      </c>
      <c r="D9" s="4" t="s">
        <v>37</v>
      </c>
      <c r="E9" s="4">
        <v>500</v>
      </c>
      <c r="F9" s="4" t="s">
        <v>32</v>
      </c>
      <c r="G9" s="4">
        <v>0.33</v>
      </c>
      <c r="H9" s="4">
        <v>165</v>
      </c>
      <c r="I9" s="4" t="s">
        <v>33</v>
      </c>
      <c r="J9" s="4" t="s">
        <v>33</v>
      </c>
      <c r="K9" s="4" t="s">
        <v>34</v>
      </c>
      <c r="L9" s="4" t="s">
        <v>35</v>
      </c>
    </row>
    <row r="10" spans="1:13" x14ac:dyDescent="0.25">
      <c r="A10" s="4" t="s">
        <v>38</v>
      </c>
      <c r="B10" s="5">
        <v>46063.490277777775</v>
      </c>
      <c r="C10" s="4" t="s">
        <v>15</v>
      </c>
      <c r="D10" s="4" t="s">
        <v>39</v>
      </c>
      <c r="E10" s="4">
        <v>700</v>
      </c>
      <c r="F10" s="4" t="s">
        <v>24</v>
      </c>
      <c r="G10" s="4">
        <v>40</v>
      </c>
      <c r="H10" s="4">
        <v>28000</v>
      </c>
      <c r="I10" s="4" t="s">
        <v>18</v>
      </c>
      <c r="J10" s="4" t="s">
        <v>26</v>
      </c>
      <c r="K10" s="4" t="s">
        <v>34</v>
      </c>
      <c r="L10" s="4" t="s">
        <v>40</v>
      </c>
    </row>
    <row r="11" spans="1:13" x14ac:dyDescent="0.25">
      <c r="A11" s="4" t="s">
        <v>41</v>
      </c>
      <c r="B11" s="5">
        <v>46063.489583333336</v>
      </c>
      <c r="C11" s="4" t="s">
        <v>15</v>
      </c>
      <c r="D11" s="4" t="s">
        <v>42</v>
      </c>
      <c r="E11" s="4">
        <v>35</v>
      </c>
      <c r="F11" s="4" t="s">
        <v>24</v>
      </c>
      <c r="G11" s="4">
        <v>31.5</v>
      </c>
      <c r="H11" s="4">
        <v>1102.5</v>
      </c>
      <c r="I11" s="4" t="s">
        <v>18</v>
      </c>
      <c r="J11" s="4" t="s">
        <v>18</v>
      </c>
      <c r="K11" s="4" t="s">
        <v>20</v>
      </c>
    </row>
    <row r="12" spans="1:13" x14ac:dyDescent="0.25">
      <c r="A12" s="4" t="s">
        <v>43</v>
      </c>
      <c r="B12" s="5">
        <v>46063.489583333336</v>
      </c>
      <c r="C12" s="4" t="s">
        <v>15</v>
      </c>
      <c r="D12" s="4" t="s">
        <v>44</v>
      </c>
      <c r="E12" s="4">
        <v>500</v>
      </c>
      <c r="F12" s="4" t="s">
        <v>24</v>
      </c>
      <c r="G12" s="4">
        <v>31.5</v>
      </c>
      <c r="H12" s="4">
        <v>15750</v>
      </c>
      <c r="I12" s="4" t="s">
        <v>18</v>
      </c>
      <c r="J12" s="4" t="s">
        <v>18</v>
      </c>
      <c r="K12" s="4" t="s">
        <v>20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32795-6A1F-48A3-8548-B28E259C06B0}">
  <sheetPr codeName="工作表10"/>
  <dimension ref="A3:G7"/>
  <sheetViews>
    <sheetView workbookViewId="0"/>
  </sheetViews>
  <sheetFormatPr defaultRowHeight="22.5" x14ac:dyDescent="0.25"/>
  <cols>
    <col min="1" max="1" width="16.625" style="4" customWidth="1"/>
    <col min="2" max="2" width="17.625" style="4" bestFit="1" customWidth="1"/>
    <col min="3" max="3" width="16" style="4" bestFit="1" customWidth="1"/>
    <col min="4" max="4" width="25.75" style="4" bestFit="1" customWidth="1"/>
    <col min="5" max="5" width="14.625" style="4" bestFit="1" customWidth="1"/>
    <col min="6" max="6" width="9.5" style="4" bestFit="1" customWidth="1"/>
    <col min="7" max="7" width="40" style="4" bestFit="1" customWidth="1"/>
    <col min="8" max="16384" width="9" style="4"/>
  </cols>
  <sheetData>
    <row r="3" spans="1:7" x14ac:dyDescent="0.25">
      <c r="A3" s="4" t="s">
        <v>11</v>
      </c>
      <c r="B3" s="4" t="s">
        <v>45</v>
      </c>
      <c r="C3" s="4" t="s">
        <v>5</v>
      </c>
      <c r="D3" s="4" t="s">
        <v>46</v>
      </c>
      <c r="E3" s="4" t="s">
        <v>47</v>
      </c>
      <c r="F3" s="4" t="s">
        <v>48</v>
      </c>
      <c r="G3" s="4" t="s">
        <v>49</v>
      </c>
    </row>
    <row r="4" spans="1:7" x14ac:dyDescent="0.25">
      <c r="A4" s="4" t="s">
        <v>40</v>
      </c>
      <c r="B4" s="4" t="s">
        <v>18</v>
      </c>
      <c r="C4" s="4" t="s">
        <v>24</v>
      </c>
      <c r="D4" s="4">
        <v>50000</v>
      </c>
      <c r="E4" s="4">
        <v>49300</v>
      </c>
      <c r="F4" s="4">
        <v>40</v>
      </c>
      <c r="G4" s="4" t="s">
        <v>50</v>
      </c>
    </row>
    <row r="5" spans="1:7" x14ac:dyDescent="0.25">
      <c r="A5" s="4" t="s">
        <v>35</v>
      </c>
      <c r="B5" s="4" t="s">
        <v>33</v>
      </c>
      <c r="C5" s="4" t="s">
        <v>32</v>
      </c>
      <c r="D5" s="4">
        <v>50000</v>
      </c>
      <c r="E5" s="4">
        <v>49100</v>
      </c>
      <c r="F5" s="4">
        <v>0.33</v>
      </c>
      <c r="G5" s="4" t="s">
        <v>51</v>
      </c>
    </row>
    <row r="6" spans="1:7" x14ac:dyDescent="0.25">
      <c r="A6" s="4" t="s">
        <v>79</v>
      </c>
      <c r="B6" s="4" t="s">
        <v>18</v>
      </c>
      <c r="C6" s="4" t="s">
        <v>32</v>
      </c>
      <c r="D6" s="4">
        <v>56000</v>
      </c>
      <c r="E6" s="4">
        <v>56000</v>
      </c>
      <c r="F6" s="4">
        <v>0.35</v>
      </c>
      <c r="G6" s="4" t="s">
        <v>85</v>
      </c>
    </row>
    <row r="7" spans="1:7" x14ac:dyDescent="0.25">
      <c r="A7" s="4" t="s">
        <v>80</v>
      </c>
      <c r="B7" s="4" t="s">
        <v>18</v>
      </c>
      <c r="C7" s="4" t="s">
        <v>17</v>
      </c>
      <c r="D7" s="4">
        <v>70000</v>
      </c>
      <c r="E7" s="4">
        <v>68000</v>
      </c>
      <c r="F7" s="4">
        <v>33</v>
      </c>
      <c r="G7" s="4" t="s">
        <v>86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037BA-196E-49BE-9B4B-46887BBCF3A9}">
  <sheetPr codeName="工作表11"/>
  <dimension ref="B3:I8"/>
  <sheetViews>
    <sheetView workbookViewId="0">
      <selection activeCell="H23" sqref="H23"/>
    </sheetView>
  </sheetViews>
  <sheetFormatPr defaultRowHeight="22.5" x14ac:dyDescent="0.25"/>
  <cols>
    <col min="1" max="1" width="16.625" style="4" customWidth="1"/>
    <col min="2" max="2" width="28" style="4" bestFit="1" customWidth="1"/>
    <col min="3" max="3" width="15.25" style="4" bestFit="1" customWidth="1"/>
    <col min="4" max="4" width="9" style="4"/>
    <col min="5" max="5" width="16.5" bestFit="1" customWidth="1"/>
    <col min="6" max="6" width="11.25" style="11" bestFit="1" customWidth="1"/>
    <col min="7" max="7" width="8" bestFit="1" customWidth="1"/>
    <col min="8" max="8" width="12.25" bestFit="1" customWidth="1"/>
    <col min="9" max="9" width="8" bestFit="1" customWidth="1"/>
    <col min="10" max="16384" width="9" style="4"/>
  </cols>
  <sheetData>
    <row r="3" spans="2:9" x14ac:dyDescent="0.25">
      <c r="B3" s="6" t="s">
        <v>64</v>
      </c>
      <c r="C3" s="6"/>
      <c r="E3" s="3" t="s">
        <v>75</v>
      </c>
      <c r="F3" s="10"/>
      <c r="G3" s="3"/>
      <c r="H3" s="3"/>
      <c r="I3" s="3"/>
    </row>
    <row r="4" spans="2:9" ht="23.25" x14ac:dyDescent="0.25">
      <c r="B4" s="4" t="s">
        <v>18</v>
      </c>
      <c r="C4" s="9" t="s">
        <v>120</v>
      </c>
      <c r="E4" t="s">
        <v>76</v>
      </c>
      <c r="F4" s="11" t="s">
        <v>87</v>
      </c>
      <c r="G4" t="s">
        <v>61</v>
      </c>
      <c r="H4" t="s">
        <v>77</v>
      </c>
      <c r="I4" t="s">
        <v>57</v>
      </c>
    </row>
    <row r="5" spans="2:9" ht="23.25" x14ac:dyDescent="0.25">
      <c r="B5" s="4" t="s">
        <v>25</v>
      </c>
      <c r="C5" s="9" t="s">
        <v>121</v>
      </c>
      <c r="E5" t="s">
        <v>40</v>
      </c>
      <c r="F5" s="11" t="s">
        <v>65</v>
      </c>
      <c r="G5" t="s">
        <v>24</v>
      </c>
      <c r="H5">
        <v>50000</v>
      </c>
      <c r="I5">
        <v>40</v>
      </c>
    </row>
    <row r="6" spans="2:9" ht="23.25" x14ac:dyDescent="0.25">
      <c r="B6" s="4" t="s">
        <v>52</v>
      </c>
      <c r="C6" s="9" t="s">
        <v>66</v>
      </c>
      <c r="E6" t="s">
        <v>35</v>
      </c>
      <c r="F6" s="11" t="s">
        <v>67</v>
      </c>
      <c r="G6" t="s">
        <v>32</v>
      </c>
      <c r="H6">
        <v>50000</v>
      </c>
      <c r="I6">
        <v>0.33</v>
      </c>
    </row>
    <row r="7" spans="2:9" ht="23.25" x14ac:dyDescent="0.25">
      <c r="B7" s="4" t="s">
        <v>33</v>
      </c>
      <c r="C7" s="9" t="s">
        <v>67</v>
      </c>
      <c r="E7" t="s">
        <v>79</v>
      </c>
      <c r="F7" s="11" t="s">
        <v>65</v>
      </c>
      <c r="G7" t="s">
        <v>32</v>
      </c>
      <c r="H7">
        <v>56000</v>
      </c>
      <c r="I7">
        <v>0.35</v>
      </c>
    </row>
    <row r="8" spans="2:9" x14ac:dyDescent="0.25">
      <c r="E8" t="s">
        <v>80</v>
      </c>
      <c r="F8" s="11" t="s">
        <v>65</v>
      </c>
      <c r="G8" t="s">
        <v>17</v>
      </c>
      <c r="H8">
        <v>70000</v>
      </c>
      <c r="I8">
        <v>33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28A6-249E-40E3-811B-30CF3A359F49}">
  <sheetPr codeName="工作表12"/>
  <dimension ref="A3:P15"/>
  <sheetViews>
    <sheetView showGridLines="0" workbookViewId="0"/>
  </sheetViews>
  <sheetFormatPr defaultRowHeight="23.25" x14ac:dyDescent="0.25"/>
  <cols>
    <col min="1" max="1" width="16.625" style="4" customWidth="1"/>
    <col min="2" max="2" width="12.75" style="4" bestFit="1" customWidth="1"/>
    <col min="3" max="3" width="12.625" style="12" bestFit="1" customWidth="1"/>
    <col min="4" max="4" width="12.75" style="4" bestFit="1" customWidth="1"/>
    <col min="5" max="5" width="14.5" style="12" bestFit="1" customWidth="1"/>
    <col min="6" max="7" width="9.5" style="4" bestFit="1" customWidth="1"/>
    <col min="8" max="8" width="12.25" style="4" bestFit="1" customWidth="1"/>
    <col min="9" max="9" width="24.625" style="4" bestFit="1" customWidth="1"/>
    <col min="10" max="10" width="18.75" style="4" bestFit="1" customWidth="1"/>
    <col min="11" max="11" width="42" style="12" bestFit="1" customWidth="1"/>
    <col min="12" max="12" width="18.5" style="4" bestFit="1" customWidth="1"/>
    <col min="13" max="13" width="9" style="4"/>
    <col min="14" max="14" width="14.5" style="12" bestFit="1" customWidth="1"/>
    <col min="15" max="15" width="14.625" style="4" bestFit="1" customWidth="1"/>
    <col min="16" max="16" width="14.125" style="4" bestFit="1" customWidth="1"/>
    <col min="17" max="16384" width="9" style="4"/>
  </cols>
  <sheetData>
    <row r="3" spans="1:16" x14ac:dyDescent="0.25">
      <c r="A3" s="4" t="s">
        <v>53</v>
      </c>
      <c r="B3" s="4" t="s">
        <v>62</v>
      </c>
      <c r="C3" s="12" t="s">
        <v>88</v>
      </c>
      <c r="D3" s="4" t="s">
        <v>54</v>
      </c>
      <c r="E3" s="12" t="s">
        <v>89</v>
      </c>
      <c r="F3" s="4" t="s">
        <v>55</v>
      </c>
      <c r="G3" s="4" t="s">
        <v>56</v>
      </c>
      <c r="H3" s="4" t="s">
        <v>78</v>
      </c>
      <c r="I3" s="4" t="s">
        <v>57</v>
      </c>
      <c r="J3" s="4" t="s">
        <v>58</v>
      </c>
      <c r="K3" s="12" t="s">
        <v>90</v>
      </c>
      <c r="L3" s="4" t="s">
        <v>59</v>
      </c>
      <c r="N3" s="30" t="s">
        <v>93</v>
      </c>
      <c r="O3" s="31" t="s">
        <v>91</v>
      </c>
      <c r="P3" s="31" t="s">
        <v>92</v>
      </c>
    </row>
    <row r="4" spans="1:16" x14ac:dyDescent="0.25">
      <c r="A4" s="7">
        <v>46071</v>
      </c>
      <c r="B4" s="4" t="s">
        <v>63</v>
      </c>
      <c r="C4" s="13" t="s">
        <v>81</v>
      </c>
      <c r="D4" s="4" t="s">
        <v>82</v>
      </c>
      <c r="E4" s="12" t="s">
        <v>65</v>
      </c>
      <c r="F4" s="4" t="s">
        <v>34</v>
      </c>
      <c r="G4" s="4" t="s">
        <v>17</v>
      </c>
      <c r="H4" s="4">
        <v>2000</v>
      </c>
      <c r="I4" s="4">
        <v>33</v>
      </c>
      <c r="J4" s="4">
        <v>66000</v>
      </c>
      <c r="K4" s="12" t="s">
        <v>123</v>
      </c>
      <c r="L4" s="4">
        <v>22000</v>
      </c>
      <c r="N4" s="13" t="s">
        <v>81</v>
      </c>
      <c r="O4" s="19">
        <v>66000</v>
      </c>
      <c r="P4" s="23">
        <v>0.2443113400069814</v>
      </c>
    </row>
    <row r="5" spans="1:16" x14ac:dyDescent="0.25">
      <c r="A5" s="7">
        <v>46066</v>
      </c>
      <c r="B5" s="4" t="s">
        <v>63</v>
      </c>
      <c r="C5" s="14" t="s">
        <v>68</v>
      </c>
      <c r="D5" s="4" t="s">
        <v>16</v>
      </c>
      <c r="E5" s="12" t="s">
        <v>65</v>
      </c>
      <c r="F5" s="4" t="s">
        <v>20</v>
      </c>
      <c r="G5" s="4" t="s">
        <v>17</v>
      </c>
      <c r="H5" s="4">
        <v>72</v>
      </c>
      <c r="I5" s="4">
        <v>34.799999999999997</v>
      </c>
      <c r="J5" s="4">
        <v>2505.6</v>
      </c>
      <c r="K5" s="12" t="s">
        <v>123</v>
      </c>
      <c r="L5" s="4">
        <v>835.19999999999993</v>
      </c>
      <c r="N5" s="14" t="s">
        <v>68</v>
      </c>
      <c r="O5" s="20">
        <v>188202.1</v>
      </c>
      <c r="P5" s="24">
        <v>0.69666526125951389</v>
      </c>
    </row>
    <row r="6" spans="1:16" x14ac:dyDescent="0.25">
      <c r="A6" s="7">
        <v>46070</v>
      </c>
      <c r="B6" s="4" t="s">
        <v>63</v>
      </c>
      <c r="C6" s="15" t="s">
        <v>69</v>
      </c>
      <c r="D6" s="4" t="s">
        <v>23</v>
      </c>
      <c r="E6" s="12" t="s">
        <v>122</v>
      </c>
      <c r="F6" s="4" t="s">
        <v>20</v>
      </c>
      <c r="G6" s="4" t="s">
        <v>24</v>
      </c>
      <c r="H6" s="4">
        <v>502</v>
      </c>
      <c r="I6" s="4">
        <v>31.5</v>
      </c>
      <c r="J6" s="4">
        <v>15813</v>
      </c>
      <c r="K6" s="12" t="s">
        <v>124</v>
      </c>
      <c r="L6" s="4">
        <v>7906.5</v>
      </c>
      <c r="N6" s="15" t="s">
        <v>69</v>
      </c>
      <c r="O6" s="21">
        <v>15813</v>
      </c>
      <c r="P6" s="25">
        <v>5.8534776053490861E-2</v>
      </c>
    </row>
    <row r="7" spans="1:16" x14ac:dyDescent="0.25">
      <c r="A7" s="7">
        <v>46070</v>
      </c>
      <c r="B7" s="4" t="s">
        <v>63</v>
      </c>
      <c r="C7" s="14" t="s">
        <v>68</v>
      </c>
      <c r="D7" s="4" t="s">
        <v>28</v>
      </c>
      <c r="E7" s="12" t="s">
        <v>122</v>
      </c>
      <c r="F7" s="4" t="s">
        <v>20</v>
      </c>
      <c r="G7" s="4" t="s">
        <v>24</v>
      </c>
      <c r="H7" s="4">
        <v>5001</v>
      </c>
      <c r="I7" s="4">
        <v>31.5</v>
      </c>
      <c r="J7" s="4">
        <v>157531.5</v>
      </c>
      <c r="K7" s="12" t="s">
        <v>124</v>
      </c>
      <c r="L7" s="4">
        <v>78765.75</v>
      </c>
      <c r="N7" s="16" t="s">
        <v>71</v>
      </c>
      <c r="O7" s="22">
        <v>132</v>
      </c>
      <c r="P7" s="26">
        <v>4.8862268001396275E-4</v>
      </c>
    </row>
    <row r="8" spans="1:16" x14ac:dyDescent="0.25">
      <c r="A8" s="7">
        <v>46063</v>
      </c>
      <c r="B8" s="4" t="s">
        <v>70</v>
      </c>
      <c r="C8" s="16" t="s">
        <v>71</v>
      </c>
      <c r="D8" s="4" t="s">
        <v>31</v>
      </c>
      <c r="E8" s="12" t="s">
        <v>67</v>
      </c>
      <c r="F8" s="4" t="s">
        <v>34</v>
      </c>
      <c r="G8" s="4" t="s">
        <v>32</v>
      </c>
      <c r="H8" s="4">
        <v>400</v>
      </c>
      <c r="I8" s="4">
        <v>0.33</v>
      </c>
      <c r="J8" s="4">
        <v>132</v>
      </c>
      <c r="K8" s="12" t="s">
        <v>67</v>
      </c>
      <c r="L8" s="4">
        <v>132</v>
      </c>
      <c r="N8" s="32" t="s">
        <v>60</v>
      </c>
      <c r="O8" s="32"/>
      <c r="P8" s="32">
        <f>SUBTOTAL(109,Tbl_Summary_Group_Details[佔比 (%)])</f>
        <v>1.0000000000000002</v>
      </c>
    </row>
    <row r="9" spans="1:16" x14ac:dyDescent="0.25">
      <c r="A9" s="7">
        <v>46063</v>
      </c>
      <c r="B9" s="4" t="s">
        <v>70</v>
      </c>
      <c r="C9" s="14" t="s">
        <v>68</v>
      </c>
      <c r="D9" s="4" t="s">
        <v>37</v>
      </c>
      <c r="E9" s="12" t="s">
        <v>67</v>
      </c>
      <c r="F9" s="4" t="s">
        <v>34</v>
      </c>
      <c r="G9" s="4" t="s">
        <v>32</v>
      </c>
      <c r="H9" s="4">
        <v>500</v>
      </c>
      <c r="I9" s="4">
        <v>0.33</v>
      </c>
      <c r="J9" s="4">
        <v>165</v>
      </c>
      <c r="K9" s="12" t="s">
        <v>67</v>
      </c>
      <c r="L9" s="4">
        <v>165</v>
      </c>
    </row>
    <row r="10" spans="1:16" x14ac:dyDescent="0.25">
      <c r="A10" s="7">
        <v>46063</v>
      </c>
      <c r="B10" s="4" t="s">
        <v>63</v>
      </c>
      <c r="C10" s="14" t="s">
        <v>68</v>
      </c>
      <c r="D10" s="4" t="s">
        <v>39</v>
      </c>
      <c r="E10" s="12" t="s">
        <v>65</v>
      </c>
      <c r="F10" s="4" t="s">
        <v>34</v>
      </c>
      <c r="G10" s="4" t="s">
        <v>24</v>
      </c>
      <c r="H10" s="4">
        <v>700</v>
      </c>
      <c r="I10" s="4">
        <v>40</v>
      </c>
      <c r="J10" s="4">
        <v>28000</v>
      </c>
      <c r="K10" s="12" t="s">
        <v>124</v>
      </c>
      <c r="L10" s="4">
        <v>14000</v>
      </c>
    </row>
    <row r="11" spans="1:16" x14ac:dyDescent="0.25">
      <c r="A11" s="4" t="s">
        <v>60</v>
      </c>
      <c r="C11" s="14"/>
      <c r="H11" s="4">
        <f>SUBTOTAL(109,表格19[原幣額])</f>
        <v>9175</v>
      </c>
      <c r="J11" s="4">
        <f>SUBTOTAL(109,表格19[台幣總額])</f>
        <v>270147.09999999998</v>
      </c>
      <c r="L11" s="4">
        <f>SUBTOTAL(109,表格19[每人應攤])</f>
        <v>123804.45</v>
      </c>
    </row>
    <row r="13" spans="1:16" ht="31.5" x14ac:dyDescent="0.25">
      <c r="I13" s="8" t="s">
        <v>72</v>
      </c>
      <c r="J13" s="8">
        <v>900</v>
      </c>
    </row>
    <row r="14" spans="1:16" ht="31.5" x14ac:dyDescent="0.25">
      <c r="I14" s="8" t="s">
        <v>73</v>
      </c>
      <c r="J14" s="8">
        <v>6203</v>
      </c>
    </row>
    <row r="15" spans="1:16" ht="31.5" x14ac:dyDescent="0.25">
      <c r="I15" s="8" t="s">
        <v>74</v>
      </c>
      <c r="J15" s="8">
        <v>68505.600000000006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1C2D-FF68-4F21-92E1-6DC0356B2B3D}">
  <sheetPr codeName="工作表13"/>
  <dimension ref="A3:O23"/>
  <sheetViews>
    <sheetView topLeftCell="J21"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12" bestFit="1" customWidth="1"/>
    <col min="4" max="4" width="25.75" style="4" bestFit="1" customWidth="1"/>
    <col min="5" max="5" width="25.125" style="4" bestFit="1" customWidth="1"/>
    <col min="6" max="6" width="10.75" style="4" bestFit="1" customWidth="1"/>
    <col min="7" max="7" width="12.25" style="4" bestFit="1" customWidth="1"/>
    <col min="8" max="8" width="9.5" style="4" bestFit="1" customWidth="1"/>
    <col min="9" max="9" width="16.625" style="4" bestFit="1" customWidth="1"/>
    <col min="10" max="10" width="18.5" style="4" bestFit="1" customWidth="1"/>
    <col min="11" max="11" width="15.25" style="4" bestFit="1" customWidth="1"/>
    <col min="12" max="12" width="9" style="4"/>
    <col min="13" max="13" width="14.5" style="12" bestFit="1" customWidth="1"/>
    <col min="14" max="14" width="14.62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27" t="s">
        <v>94</v>
      </c>
    </row>
    <row r="4" spans="1:15" x14ac:dyDescent="0.25">
      <c r="A4" s="4" t="s">
        <v>76</v>
      </c>
      <c r="B4" s="4" t="s">
        <v>61</v>
      </c>
      <c r="C4" s="12" t="s">
        <v>109</v>
      </c>
      <c r="D4" s="4" t="s">
        <v>95</v>
      </c>
      <c r="E4" s="4" t="s">
        <v>96</v>
      </c>
      <c r="F4" s="4" t="s">
        <v>57</v>
      </c>
    </row>
    <row r="5" spans="1:15" x14ac:dyDescent="0.25">
      <c r="A5" s="4" t="s">
        <v>40</v>
      </c>
      <c r="B5" s="4" t="s">
        <v>24</v>
      </c>
      <c r="C5" s="12">
        <v>50000</v>
      </c>
      <c r="D5" s="4">
        <v>700</v>
      </c>
      <c r="E5" s="4">
        <v>49300</v>
      </c>
      <c r="F5" s="4">
        <v>40</v>
      </c>
    </row>
    <row r="6" spans="1:15" x14ac:dyDescent="0.25">
      <c r="A6" s="4" t="s">
        <v>79</v>
      </c>
      <c r="B6" s="4" t="s">
        <v>32</v>
      </c>
      <c r="C6" s="12">
        <v>56000</v>
      </c>
      <c r="D6" s="4">
        <v>0</v>
      </c>
      <c r="E6" s="4">
        <v>56000</v>
      </c>
      <c r="F6" s="4">
        <v>0.35</v>
      </c>
    </row>
    <row r="7" spans="1:15" x14ac:dyDescent="0.25">
      <c r="A7" s="4" t="s">
        <v>80</v>
      </c>
      <c r="B7" s="4" t="s">
        <v>17</v>
      </c>
      <c r="C7" s="12">
        <v>70000</v>
      </c>
      <c r="D7" s="4">
        <v>2000</v>
      </c>
      <c r="E7" s="4">
        <v>68000</v>
      </c>
      <c r="F7" s="4">
        <v>33</v>
      </c>
    </row>
    <row r="8" spans="1:15" x14ac:dyDescent="0.25">
      <c r="A8" s="4" t="s">
        <v>60</v>
      </c>
      <c r="C8" s="12">
        <f>SUBTOTAL(109,表格21[初始額度])</f>
        <v>176000</v>
      </c>
      <c r="D8" s="4">
        <f>SUBTOTAL(109,表格21[本表記錄流出])</f>
        <v>2700</v>
      </c>
      <c r="E8" s="4">
        <f>SUBTOTAL(109,表格21[結算估計剩餘])</f>
        <v>173300</v>
      </c>
      <c r="F8" s="4">
        <f>SUBTOTAL(109,表格21[匯率])</f>
        <v>73.349999999999994</v>
      </c>
    </row>
    <row r="10" spans="1:15" ht="31.5" x14ac:dyDescent="0.25">
      <c r="A10" s="27" t="s">
        <v>97</v>
      </c>
    </row>
    <row r="11" spans="1:15" x14ac:dyDescent="0.25">
      <c r="A11" s="4" t="s">
        <v>98</v>
      </c>
      <c r="B11" s="4" t="s">
        <v>99</v>
      </c>
      <c r="C11" s="12" t="s">
        <v>110</v>
      </c>
      <c r="D11" s="4" t="s">
        <v>101</v>
      </c>
      <c r="E11" s="4" t="s">
        <v>102</v>
      </c>
    </row>
    <row r="12" spans="1:15" x14ac:dyDescent="0.25">
      <c r="A12" s="4">
        <v>96505.600000000006</v>
      </c>
      <c r="B12" s="4">
        <v>140359.95000000001</v>
      </c>
      <c r="C12" s="12">
        <v>0</v>
      </c>
      <c r="D12" s="4">
        <v>5401</v>
      </c>
      <c r="E12" s="14" t="s">
        <v>103</v>
      </c>
    </row>
    <row r="14" spans="1:15" ht="31.5" x14ac:dyDescent="0.25">
      <c r="A14" s="27" t="s">
        <v>104</v>
      </c>
    </row>
    <row r="15" spans="1:15" x14ac:dyDescent="0.25">
      <c r="A15" s="4" t="s">
        <v>53</v>
      </c>
      <c r="B15" s="4" t="s">
        <v>62</v>
      </c>
      <c r="C15" s="12" t="s">
        <v>88</v>
      </c>
      <c r="D15" s="4" t="s">
        <v>54</v>
      </c>
      <c r="E15" s="4" t="s">
        <v>55</v>
      </c>
      <c r="F15" s="4" t="s">
        <v>56</v>
      </c>
      <c r="G15" s="4" t="s">
        <v>78</v>
      </c>
      <c r="H15" s="4" t="s">
        <v>57</v>
      </c>
      <c r="I15" s="4" t="s">
        <v>58</v>
      </c>
      <c r="J15" s="4" t="s">
        <v>105</v>
      </c>
      <c r="K15" s="4" t="s">
        <v>106</v>
      </c>
      <c r="M15" s="30" t="s">
        <v>93</v>
      </c>
      <c r="N15" s="31" t="s">
        <v>91</v>
      </c>
      <c r="O15" s="31" t="s">
        <v>92</v>
      </c>
    </row>
    <row r="16" spans="1:15" x14ac:dyDescent="0.25">
      <c r="A16" s="7">
        <v>46071</v>
      </c>
      <c r="B16" s="28" t="s">
        <v>63</v>
      </c>
      <c r="C16" s="13" t="s">
        <v>81</v>
      </c>
      <c r="D16" s="4" t="s">
        <v>82</v>
      </c>
      <c r="E16" s="4" t="s">
        <v>34</v>
      </c>
      <c r="F16" s="4" t="s">
        <v>17</v>
      </c>
      <c r="G16" s="4">
        <v>2000</v>
      </c>
      <c r="H16" s="4">
        <v>33</v>
      </c>
      <c r="I16" s="4">
        <v>66000</v>
      </c>
      <c r="J16" s="4">
        <v>22000</v>
      </c>
      <c r="K16" s="4">
        <v>44000</v>
      </c>
      <c r="M16" s="13" t="s">
        <v>81</v>
      </c>
      <c r="N16" s="19">
        <v>22000</v>
      </c>
      <c r="O16" s="23">
        <v>0.1567398677471743</v>
      </c>
    </row>
    <row r="17" spans="1:15" x14ac:dyDescent="0.25">
      <c r="A17" s="7">
        <v>46066</v>
      </c>
      <c r="B17" s="28" t="s">
        <v>63</v>
      </c>
      <c r="C17" s="14" t="s">
        <v>68</v>
      </c>
      <c r="D17" s="4" t="s">
        <v>16</v>
      </c>
      <c r="E17" s="4" t="s">
        <v>20</v>
      </c>
      <c r="F17" s="4" t="s">
        <v>17</v>
      </c>
      <c r="G17" s="4">
        <v>72</v>
      </c>
      <c r="H17" s="4">
        <v>34.799999999999997</v>
      </c>
      <c r="I17" s="4">
        <v>2505.6</v>
      </c>
      <c r="J17" s="4">
        <v>835.19999999999993</v>
      </c>
      <c r="K17" s="4">
        <v>1670.4</v>
      </c>
      <c r="M17" s="14" t="s">
        <v>68</v>
      </c>
      <c r="N17" s="20">
        <v>110453.45</v>
      </c>
      <c r="O17" s="24">
        <v>0.78692996114632408</v>
      </c>
    </row>
    <row r="18" spans="1:15" x14ac:dyDescent="0.25">
      <c r="A18" s="7">
        <v>46070</v>
      </c>
      <c r="B18" s="4" t="s">
        <v>107</v>
      </c>
      <c r="C18" s="15" t="s">
        <v>69</v>
      </c>
      <c r="D18" s="4" t="s">
        <v>23</v>
      </c>
      <c r="E18" s="4" t="s">
        <v>20</v>
      </c>
      <c r="F18" s="4" t="s">
        <v>24</v>
      </c>
      <c r="G18" s="4">
        <v>502</v>
      </c>
      <c r="H18" s="4">
        <v>31.5</v>
      </c>
      <c r="I18" s="4">
        <v>15813</v>
      </c>
      <c r="J18" s="4">
        <v>7906.5</v>
      </c>
      <c r="K18" s="4">
        <v>0</v>
      </c>
      <c r="M18" s="15" t="s">
        <v>69</v>
      </c>
      <c r="N18" s="21">
        <v>7906.5</v>
      </c>
      <c r="O18" s="25">
        <v>5.6330171106501528E-2</v>
      </c>
    </row>
    <row r="19" spans="1:15" x14ac:dyDescent="0.25">
      <c r="A19" s="7">
        <v>46070</v>
      </c>
      <c r="B19" s="4" t="s">
        <v>107</v>
      </c>
      <c r="C19" s="14" t="s">
        <v>68</v>
      </c>
      <c r="D19" s="4" t="s">
        <v>28</v>
      </c>
      <c r="E19" s="4" t="s">
        <v>20</v>
      </c>
      <c r="F19" s="4" t="s">
        <v>24</v>
      </c>
      <c r="G19" s="4">
        <v>5001</v>
      </c>
      <c r="H19" s="4">
        <v>31.5</v>
      </c>
      <c r="I19" s="4">
        <v>157531.5</v>
      </c>
      <c r="J19" s="4">
        <v>78765.75</v>
      </c>
      <c r="K19" s="4">
        <v>0</v>
      </c>
      <c r="M19" s="32" t="s">
        <v>60</v>
      </c>
      <c r="N19" s="32"/>
      <c r="O19" s="32">
        <f>SUBTOTAL(109,Tbl_Summary_PS_Smile[佔比 (%)])</f>
        <v>0.99999999999999989</v>
      </c>
    </row>
    <row r="20" spans="1:15" x14ac:dyDescent="0.25">
      <c r="A20" s="7">
        <v>46063</v>
      </c>
      <c r="B20" s="28" t="s">
        <v>63</v>
      </c>
      <c r="C20" s="14" t="s">
        <v>68</v>
      </c>
      <c r="D20" s="4" t="s">
        <v>39</v>
      </c>
      <c r="E20" s="4" t="s">
        <v>34</v>
      </c>
      <c r="F20" s="4" t="s">
        <v>24</v>
      </c>
      <c r="G20" s="4">
        <v>700</v>
      </c>
      <c r="H20" s="4">
        <v>40</v>
      </c>
      <c r="I20" s="4">
        <v>28000</v>
      </c>
      <c r="J20" s="4">
        <v>14000</v>
      </c>
      <c r="K20" s="4">
        <v>14000</v>
      </c>
    </row>
    <row r="21" spans="1:15" x14ac:dyDescent="0.25">
      <c r="A21" s="7">
        <v>46063</v>
      </c>
      <c r="B21" s="29" t="s">
        <v>108</v>
      </c>
      <c r="C21" s="14" t="s">
        <v>68</v>
      </c>
      <c r="D21" s="4" t="s">
        <v>42</v>
      </c>
      <c r="E21" s="4" t="s">
        <v>20</v>
      </c>
      <c r="F21" s="4" t="s">
        <v>24</v>
      </c>
      <c r="G21" s="4">
        <v>35</v>
      </c>
      <c r="H21" s="4">
        <v>31.5</v>
      </c>
      <c r="I21" s="4">
        <v>1102.5</v>
      </c>
      <c r="J21" s="4">
        <v>1102.5</v>
      </c>
      <c r="K21" s="4">
        <v>0</v>
      </c>
    </row>
    <row r="22" spans="1:15" x14ac:dyDescent="0.25">
      <c r="A22" s="7">
        <v>46063</v>
      </c>
      <c r="B22" s="29" t="s">
        <v>108</v>
      </c>
      <c r="C22" s="14" t="s">
        <v>68</v>
      </c>
      <c r="D22" s="4" t="s">
        <v>44</v>
      </c>
      <c r="E22" s="4" t="s">
        <v>20</v>
      </c>
      <c r="F22" s="4" t="s">
        <v>24</v>
      </c>
      <c r="G22" s="4">
        <v>500</v>
      </c>
      <c r="H22" s="4">
        <v>31.5</v>
      </c>
      <c r="I22" s="4">
        <v>15750</v>
      </c>
      <c r="J22" s="4">
        <v>15750</v>
      </c>
      <c r="K22" s="4">
        <v>0</v>
      </c>
    </row>
    <row r="23" spans="1:15" x14ac:dyDescent="0.25">
      <c r="A23" s="4" t="s">
        <v>60</v>
      </c>
      <c r="B23"/>
      <c r="C23" s="14"/>
      <c r="I23" s="4">
        <f>SUBTOTAL(109,表格23[台幣總額])</f>
        <v>286702.59999999998</v>
      </c>
      <c r="J23" s="4">
        <f>SUBTOTAL(109,表格23[我的負擔])</f>
        <v>140359.95000000001</v>
      </c>
      <c r="K23" s="4">
        <f>SUBTOTAL(109,表格23[代墊債權])</f>
        <v>59670.400000000001</v>
      </c>
    </row>
  </sheetData>
  <phoneticPr fontId="1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2D7A8-1A8D-4C12-ABE6-D4A74A4D4A57}">
  <sheetPr codeName="工作表14"/>
  <dimension ref="A3:O18"/>
  <sheetViews>
    <sheetView topLeftCell="J21"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12" bestFit="1" customWidth="1"/>
    <col min="4" max="4" width="25.75" style="4" bestFit="1" customWidth="1"/>
    <col min="5" max="5" width="25.125" style="4" bestFit="1" customWidth="1"/>
    <col min="6" max="6" width="9.5" style="4" bestFit="1" customWidth="1"/>
    <col min="7" max="7" width="12.25" style="4" bestFit="1" customWidth="1"/>
    <col min="8" max="8" width="9.5" style="4" bestFit="1" customWidth="1"/>
    <col min="9" max="9" width="16.625" style="4" bestFit="1" customWidth="1"/>
    <col min="10" max="10" width="18.5" style="4" bestFit="1" customWidth="1"/>
    <col min="11" max="11" width="16.625" style="4" bestFit="1" customWidth="1"/>
    <col min="12" max="12" width="9" style="4"/>
    <col min="13" max="13" width="14.5" style="12" bestFit="1" customWidth="1"/>
    <col min="14" max="14" width="12.87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27" t="s">
        <v>94</v>
      </c>
    </row>
    <row r="4" spans="1:15" x14ac:dyDescent="0.25">
      <c r="A4" s="4" t="s">
        <v>76</v>
      </c>
      <c r="B4" s="4" t="s">
        <v>61</v>
      </c>
      <c r="C4" s="12" t="s">
        <v>109</v>
      </c>
      <c r="D4" s="4" t="s">
        <v>95</v>
      </c>
      <c r="E4" s="4" t="s">
        <v>96</v>
      </c>
      <c r="F4" s="4" t="s">
        <v>57</v>
      </c>
    </row>
    <row r="7" spans="1:15" ht="31.5" x14ac:dyDescent="0.25">
      <c r="A7" s="27" t="s">
        <v>97</v>
      </c>
    </row>
    <row r="8" spans="1:15" x14ac:dyDescent="0.25">
      <c r="A8" s="4" t="s">
        <v>98</v>
      </c>
      <c r="B8" s="4" t="s">
        <v>99</v>
      </c>
      <c r="C8" s="12" t="s">
        <v>110</v>
      </c>
      <c r="D8" s="4" t="s">
        <v>101</v>
      </c>
      <c r="E8" s="4" t="s">
        <v>102</v>
      </c>
    </row>
    <row r="9" spans="1:15" x14ac:dyDescent="0.25">
      <c r="A9" s="4">
        <v>173344.5</v>
      </c>
      <c r="B9" s="4">
        <v>123507.45</v>
      </c>
      <c r="C9" s="12">
        <v>0</v>
      </c>
      <c r="D9" s="4">
        <v>5401</v>
      </c>
      <c r="E9" s="15" t="s">
        <v>111</v>
      </c>
    </row>
    <row r="11" spans="1:15" ht="31.5" x14ac:dyDescent="0.25">
      <c r="A11" s="27" t="s">
        <v>104</v>
      </c>
    </row>
    <row r="12" spans="1:15" x14ac:dyDescent="0.25">
      <c r="A12" s="4" t="s">
        <v>53</v>
      </c>
      <c r="B12" s="4" t="s">
        <v>62</v>
      </c>
      <c r="C12" s="12" t="s">
        <v>88</v>
      </c>
      <c r="D12" s="4" t="s">
        <v>54</v>
      </c>
      <c r="E12" s="4" t="s">
        <v>55</v>
      </c>
      <c r="F12" s="4" t="s">
        <v>56</v>
      </c>
      <c r="G12" s="4" t="s">
        <v>78</v>
      </c>
      <c r="H12" s="4" t="s">
        <v>57</v>
      </c>
      <c r="I12" s="4" t="s">
        <v>58</v>
      </c>
      <c r="J12" s="4" t="s">
        <v>105</v>
      </c>
      <c r="K12" s="4" t="s">
        <v>106</v>
      </c>
      <c r="M12" s="30" t="s">
        <v>93</v>
      </c>
      <c r="N12" s="31" t="s">
        <v>91</v>
      </c>
      <c r="O12" s="31" t="s">
        <v>92</v>
      </c>
    </row>
    <row r="13" spans="1:15" x14ac:dyDescent="0.25">
      <c r="A13" s="7">
        <v>46071</v>
      </c>
      <c r="B13" s="4" t="s">
        <v>107</v>
      </c>
      <c r="C13" s="13" t="s">
        <v>81</v>
      </c>
      <c r="D13" s="4" t="s">
        <v>82</v>
      </c>
      <c r="E13" s="4" t="s">
        <v>34</v>
      </c>
      <c r="F13" s="4" t="s">
        <v>17</v>
      </c>
      <c r="G13" s="4">
        <v>2000</v>
      </c>
      <c r="H13" s="4">
        <v>33</v>
      </c>
      <c r="I13" s="4">
        <v>66000</v>
      </c>
      <c r="J13" s="4">
        <v>22000</v>
      </c>
      <c r="K13" s="4">
        <v>0</v>
      </c>
      <c r="M13" s="13" t="s">
        <v>81</v>
      </c>
      <c r="N13" s="19">
        <v>22000</v>
      </c>
      <c r="O13" s="23">
        <v>0.1781269065145463</v>
      </c>
    </row>
    <row r="14" spans="1:15" x14ac:dyDescent="0.25">
      <c r="A14" s="7">
        <v>46066</v>
      </c>
      <c r="B14" s="4" t="s">
        <v>107</v>
      </c>
      <c r="C14" s="14" t="s">
        <v>68</v>
      </c>
      <c r="D14" s="4" t="s">
        <v>16</v>
      </c>
      <c r="E14" s="4" t="s">
        <v>20</v>
      </c>
      <c r="F14" s="4" t="s">
        <v>17</v>
      </c>
      <c r="G14" s="4">
        <v>72</v>
      </c>
      <c r="H14" s="4">
        <v>34.799999999999997</v>
      </c>
      <c r="I14" s="4">
        <v>2505.6</v>
      </c>
      <c r="J14" s="4">
        <v>835.19999999999993</v>
      </c>
      <c r="K14" s="4">
        <v>0</v>
      </c>
      <c r="M14" s="14" t="s">
        <v>68</v>
      </c>
      <c r="N14" s="20">
        <v>93600.95</v>
      </c>
      <c r="O14" s="24">
        <v>0.75785671228739637</v>
      </c>
    </row>
    <row r="15" spans="1:15" x14ac:dyDescent="0.25">
      <c r="A15" s="7">
        <v>46070</v>
      </c>
      <c r="B15" s="28" t="s">
        <v>63</v>
      </c>
      <c r="C15" s="15" t="s">
        <v>69</v>
      </c>
      <c r="D15" s="4" t="s">
        <v>23</v>
      </c>
      <c r="E15" s="4" t="s">
        <v>20</v>
      </c>
      <c r="F15" s="4" t="s">
        <v>24</v>
      </c>
      <c r="G15" s="4">
        <v>502</v>
      </c>
      <c r="H15" s="4">
        <v>31.5</v>
      </c>
      <c r="I15" s="4">
        <v>15813</v>
      </c>
      <c r="J15" s="4">
        <v>7906.5</v>
      </c>
      <c r="K15" s="4">
        <v>7906.5</v>
      </c>
      <c r="M15" s="15" t="s">
        <v>69</v>
      </c>
      <c r="N15" s="21">
        <v>7906.5</v>
      </c>
      <c r="O15" s="25">
        <v>6.401638119805729E-2</v>
      </c>
    </row>
    <row r="16" spans="1:15" x14ac:dyDescent="0.25">
      <c r="A16" s="7">
        <v>46070</v>
      </c>
      <c r="B16" s="28" t="s">
        <v>63</v>
      </c>
      <c r="C16" s="14" t="s">
        <v>68</v>
      </c>
      <c r="D16" s="4" t="s">
        <v>28</v>
      </c>
      <c r="E16" s="4" t="s">
        <v>20</v>
      </c>
      <c r="F16" s="4" t="s">
        <v>24</v>
      </c>
      <c r="G16" s="4">
        <v>5001</v>
      </c>
      <c r="H16" s="4">
        <v>31.5</v>
      </c>
      <c r="I16" s="4">
        <v>157531.5</v>
      </c>
      <c r="J16" s="4">
        <v>78765.75</v>
      </c>
      <c r="K16" s="4">
        <v>78765.75</v>
      </c>
      <c r="M16" s="32" t="s">
        <v>60</v>
      </c>
      <c r="N16" s="32"/>
      <c r="O16" s="32">
        <f>SUBTOTAL(109,Tbl_Summary_PS_可愛的[佔比 (%)])</f>
        <v>1</v>
      </c>
    </row>
    <row r="17" spans="1:11" x14ac:dyDescent="0.25">
      <c r="A17" s="7">
        <v>46063</v>
      </c>
      <c r="B17" s="4" t="s">
        <v>107</v>
      </c>
      <c r="C17" s="14" t="s">
        <v>68</v>
      </c>
      <c r="D17" s="4" t="s">
        <v>39</v>
      </c>
      <c r="E17" s="4" t="s">
        <v>34</v>
      </c>
      <c r="F17" s="4" t="s">
        <v>24</v>
      </c>
      <c r="G17" s="4">
        <v>700</v>
      </c>
      <c r="H17" s="4">
        <v>40</v>
      </c>
      <c r="I17" s="4">
        <v>28000</v>
      </c>
      <c r="J17" s="4">
        <v>14000</v>
      </c>
      <c r="K17" s="4">
        <v>0</v>
      </c>
    </row>
    <row r="18" spans="1:11" x14ac:dyDescent="0.25">
      <c r="A18" s="4" t="s">
        <v>60</v>
      </c>
      <c r="C18" s="14"/>
      <c r="I18" s="4">
        <f>SUBTOTAL(109,表格26[台幣總額])</f>
        <v>269850.09999999998</v>
      </c>
      <c r="J18" s="4">
        <f>SUBTOTAL(109,表格26[我的負擔])</f>
        <v>123507.45</v>
      </c>
      <c r="K18" s="4">
        <f>SUBTOTAL(109,表格26[代墊債權])</f>
        <v>86672.25</v>
      </c>
    </row>
  </sheetData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CF88-F275-44C3-B1F7-578775C76179}">
  <sheetPr codeName="工作表15"/>
  <dimension ref="A3:O15"/>
  <sheetViews>
    <sheetView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12" bestFit="1" customWidth="1"/>
    <col min="4" max="4" width="25.75" style="4" bestFit="1" customWidth="1"/>
    <col min="5" max="5" width="25.125" style="4" bestFit="1" customWidth="1"/>
    <col min="6" max="6" width="9.5" style="4" bestFit="1" customWidth="1"/>
    <col min="7" max="7" width="12.25" style="4" bestFit="1" customWidth="1"/>
    <col min="8" max="8" width="9.5" style="4" bestFit="1" customWidth="1"/>
    <col min="9" max="11" width="15.25" style="4" bestFit="1" customWidth="1"/>
    <col min="12" max="12" width="9" style="4"/>
    <col min="13" max="13" width="14.5" style="12" bestFit="1" customWidth="1"/>
    <col min="14" max="14" width="12.87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27" t="s">
        <v>94</v>
      </c>
    </row>
    <row r="4" spans="1:15" x14ac:dyDescent="0.25">
      <c r="A4" s="4" t="s">
        <v>76</v>
      </c>
      <c r="B4" s="4" t="s">
        <v>61</v>
      </c>
      <c r="C4" s="12" t="s">
        <v>109</v>
      </c>
      <c r="D4" s="4" t="s">
        <v>95</v>
      </c>
      <c r="E4" s="4" t="s">
        <v>96</v>
      </c>
      <c r="F4" s="4" t="s">
        <v>57</v>
      </c>
    </row>
    <row r="7" spans="1:15" ht="31.5" x14ac:dyDescent="0.25">
      <c r="A7" s="27" t="s">
        <v>97</v>
      </c>
    </row>
    <row r="8" spans="1:15" x14ac:dyDescent="0.25">
      <c r="A8" s="4" t="s">
        <v>98</v>
      </c>
      <c r="B8" s="4" t="s">
        <v>99</v>
      </c>
      <c r="C8" s="12" t="s">
        <v>110</v>
      </c>
      <c r="D8" s="4" t="s">
        <v>101</v>
      </c>
      <c r="E8" s="4" t="s">
        <v>102</v>
      </c>
    </row>
    <row r="9" spans="1:15" x14ac:dyDescent="0.25">
      <c r="A9" s="4">
        <v>0</v>
      </c>
      <c r="B9" s="4">
        <v>22835.200000000001</v>
      </c>
      <c r="C9" s="12">
        <v>0</v>
      </c>
      <c r="D9" s="4">
        <v>5401</v>
      </c>
      <c r="E9" s="14" t="s">
        <v>112</v>
      </c>
    </row>
    <row r="11" spans="1:15" ht="31.5" x14ac:dyDescent="0.25">
      <c r="A11" s="27" t="s">
        <v>104</v>
      </c>
    </row>
    <row r="12" spans="1:15" x14ac:dyDescent="0.25">
      <c r="A12" s="4" t="s">
        <v>53</v>
      </c>
      <c r="B12" s="4" t="s">
        <v>62</v>
      </c>
      <c r="C12" s="12" t="s">
        <v>88</v>
      </c>
      <c r="D12" s="4" t="s">
        <v>54</v>
      </c>
      <c r="E12" s="4" t="s">
        <v>55</v>
      </c>
      <c r="F12" s="4" t="s">
        <v>56</v>
      </c>
      <c r="G12" s="4" t="s">
        <v>78</v>
      </c>
      <c r="H12" s="4" t="s">
        <v>57</v>
      </c>
      <c r="I12" s="4" t="s">
        <v>58</v>
      </c>
      <c r="J12" s="4" t="s">
        <v>105</v>
      </c>
      <c r="K12" s="4" t="s">
        <v>106</v>
      </c>
      <c r="M12" s="30" t="s">
        <v>93</v>
      </c>
      <c r="N12" s="31" t="s">
        <v>91</v>
      </c>
      <c r="O12" s="31" t="s">
        <v>92</v>
      </c>
    </row>
    <row r="13" spans="1:15" x14ac:dyDescent="0.25">
      <c r="A13" s="7">
        <v>46071</v>
      </c>
      <c r="B13" s="4" t="s">
        <v>107</v>
      </c>
      <c r="C13" s="13" t="s">
        <v>81</v>
      </c>
      <c r="D13" s="4" t="s">
        <v>82</v>
      </c>
      <c r="E13" s="4" t="s">
        <v>34</v>
      </c>
      <c r="F13" s="4" t="s">
        <v>17</v>
      </c>
      <c r="G13" s="4">
        <v>2000</v>
      </c>
      <c r="H13" s="4">
        <v>33</v>
      </c>
      <c r="I13" s="4">
        <v>66000</v>
      </c>
      <c r="J13" s="4">
        <v>22000</v>
      </c>
      <c r="K13" s="4">
        <v>0</v>
      </c>
      <c r="M13" s="13" t="s">
        <v>81</v>
      </c>
      <c r="N13" s="19">
        <v>22000</v>
      </c>
      <c r="O13" s="23">
        <v>0.96342488789237668</v>
      </c>
    </row>
    <row r="14" spans="1:15" x14ac:dyDescent="0.25">
      <c r="A14" s="7">
        <v>46066</v>
      </c>
      <c r="B14" s="4" t="s">
        <v>107</v>
      </c>
      <c r="C14" s="14" t="s">
        <v>68</v>
      </c>
      <c r="D14" s="4" t="s">
        <v>16</v>
      </c>
      <c r="E14" s="4" t="s">
        <v>20</v>
      </c>
      <c r="F14" s="4" t="s">
        <v>17</v>
      </c>
      <c r="G14" s="4">
        <v>72</v>
      </c>
      <c r="H14" s="4">
        <v>34.799999999999997</v>
      </c>
      <c r="I14" s="4">
        <v>2505.6</v>
      </c>
      <c r="J14" s="4">
        <v>835.19999999999993</v>
      </c>
      <c r="K14" s="4">
        <v>0</v>
      </c>
      <c r="M14" s="14" t="s">
        <v>68</v>
      </c>
      <c r="N14" s="20">
        <v>835.19999999999993</v>
      </c>
      <c r="O14" s="24">
        <v>3.6575112107623313E-2</v>
      </c>
    </row>
    <row r="15" spans="1:15" ht="22.5" x14ac:dyDescent="0.25">
      <c r="A15" s="4" t="s">
        <v>60</v>
      </c>
      <c r="C15" s="11"/>
      <c r="I15" s="4">
        <f>SUBTOTAL(109,表格29[台幣總額])</f>
        <v>68505.600000000006</v>
      </c>
      <c r="J15" s="4">
        <f>SUBTOTAL(109,表格29[我的負擔])</f>
        <v>22835.200000000001</v>
      </c>
      <c r="K15" s="4">
        <f>SUBTOTAL(109,表格29[代墊債權])</f>
        <v>0</v>
      </c>
      <c r="M15" s="32" t="s">
        <v>60</v>
      </c>
      <c r="N15" s="32"/>
      <c r="O15" s="32">
        <f>SUBTOTAL(109,Tbl_Summary_PS_Nomad[佔比 (%)])</f>
        <v>1</v>
      </c>
    </row>
  </sheetData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B68B-2E60-4B6E-8DA0-4ECC348C1DFD}">
  <sheetPr codeName="工作表16"/>
  <dimension ref="B12:H15"/>
  <sheetViews>
    <sheetView showGridLines="0" tabSelected="1" workbookViewId="0"/>
  </sheetViews>
  <sheetFormatPr defaultRowHeight="23.25" x14ac:dyDescent="0.25"/>
  <cols>
    <col min="1" max="1" width="16.625" style="4" customWidth="1"/>
    <col min="2" max="2" width="15.25" style="12" bestFit="1" customWidth="1"/>
    <col min="3" max="3" width="20.625" style="4" bestFit="1" customWidth="1"/>
    <col min="4" max="4" width="19.625" style="4" bestFit="1" customWidth="1"/>
    <col min="5" max="5" width="19.75" style="4" bestFit="1" customWidth="1"/>
    <col min="6" max="6" width="25.75" style="4" bestFit="1" customWidth="1"/>
    <col min="7" max="7" width="19.375" style="4" bestFit="1" customWidth="1"/>
    <col min="8" max="8" width="11.5" style="12" bestFit="1" customWidth="1"/>
    <col min="9" max="16384" width="9" style="4"/>
  </cols>
  <sheetData>
    <row r="12" spans="2:8" x14ac:dyDescent="0.25">
      <c r="B12" s="12" t="s">
        <v>116</v>
      </c>
      <c r="C12" s="4" t="s">
        <v>113</v>
      </c>
      <c r="D12" s="4" t="s">
        <v>114</v>
      </c>
      <c r="E12" s="4" t="s">
        <v>100</v>
      </c>
      <c r="F12" s="4" t="s">
        <v>101</v>
      </c>
      <c r="G12" s="4" t="s">
        <v>115</v>
      </c>
      <c r="H12" s="12" t="s">
        <v>117</v>
      </c>
    </row>
    <row r="13" spans="2:8" x14ac:dyDescent="0.25">
      <c r="B13" s="12" t="s">
        <v>65</v>
      </c>
      <c r="C13" s="4">
        <v>96505.600000000006</v>
      </c>
      <c r="D13" s="4">
        <v>140359.95000000001</v>
      </c>
      <c r="E13" s="4">
        <v>0</v>
      </c>
      <c r="F13" s="4">
        <v>5401</v>
      </c>
      <c r="G13" s="4">
        <v>-38453.350000000006</v>
      </c>
      <c r="H13" s="14" t="s">
        <v>118</v>
      </c>
    </row>
    <row r="14" spans="2:8" x14ac:dyDescent="0.25">
      <c r="B14" s="12" t="s">
        <v>122</v>
      </c>
      <c r="C14" s="4">
        <v>173344.5</v>
      </c>
      <c r="D14" s="4">
        <v>123507.45</v>
      </c>
      <c r="E14" s="4">
        <v>0</v>
      </c>
      <c r="F14" s="4">
        <v>5401</v>
      </c>
      <c r="G14" s="4">
        <v>55238.05</v>
      </c>
      <c r="H14" s="15" t="s">
        <v>119</v>
      </c>
    </row>
    <row r="15" spans="2:8" x14ac:dyDescent="0.25">
      <c r="B15" s="12" t="s">
        <v>66</v>
      </c>
      <c r="C15" s="4">
        <v>0</v>
      </c>
      <c r="D15" s="4">
        <v>22835.200000000001</v>
      </c>
      <c r="E15" s="4">
        <v>0</v>
      </c>
      <c r="F15" s="4">
        <v>5401</v>
      </c>
      <c r="G15" s="4">
        <v>-17434.2</v>
      </c>
      <c r="H15" s="14" t="s">
        <v>118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Sys_DB_Expenses</vt:lpstr>
      <vt:lpstr>Sys_DB_Wallets</vt:lpstr>
      <vt:lpstr>指揮中心</vt:lpstr>
      <vt:lpstr>Raw_Expenses</vt:lpstr>
      <vt:lpstr>Raw_Wallets</vt:lpstr>
      <vt:lpstr>Settings</vt:lpstr>
      <vt:lpstr>Group_Details</vt:lpstr>
      <vt:lpstr>PS_Smile</vt:lpstr>
      <vt:lpstr>PS_可愛的</vt:lpstr>
      <vt:lpstr>PS_Nomad</vt:lpstr>
      <vt:lpstr>Group_Summary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Yang</dc:creator>
  <cp:lastModifiedBy>Smile Yang</cp:lastModifiedBy>
  <cp:lastPrinted>2026-02-20T10:32:53Z</cp:lastPrinted>
  <dcterms:created xsi:type="dcterms:W3CDTF">2026-02-17T06:35:15Z</dcterms:created>
  <dcterms:modified xsi:type="dcterms:W3CDTF">2026-02-20T10:34:35Z</dcterms:modified>
</cp:coreProperties>
</file>