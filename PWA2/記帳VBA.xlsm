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4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mile\Downloads\網頁設計\Expense\PWA_多人\PWA2\"/>
    </mc:Choice>
  </mc:AlternateContent>
  <xr:revisionPtr revIDLastSave="0" documentId="13_ncr:1_{821A8442-A2AF-4E88-B9CF-FE639E3C6A8E}" xr6:coauthVersionLast="47" xr6:coauthVersionMax="47" xr10:uidLastSave="{00000000-0000-0000-0000-000000000000}"/>
  <bookViews>
    <workbookView xWindow="-120" yWindow="-120" windowWidth="29040" windowHeight="15840" xr2:uid="{0F62F40F-2940-40F7-9E06-81750AD34089}"/>
  </bookViews>
  <sheets>
    <sheet name="指揮中心" sheetId="144" r:id="rId1"/>
    <sheet name="Sys_DB_Expenses" sheetId="98" state="hidden" r:id="rId2"/>
    <sheet name="Sys_DB_Wallets" sheetId="99" state="hidden" r:id="rId3"/>
    <sheet name="Raw_Expenses" sheetId="173" r:id="rId4"/>
    <sheet name="Raw_Wallets" sheetId="174" r:id="rId5"/>
    <sheet name="Settings" sheetId="175" r:id="rId6"/>
    <sheet name="Group_Details" sheetId="176" r:id="rId7"/>
    <sheet name="PS_Smile" sheetId="177" r:id="rId8"/>
    <sheet name="PS_Jiani" sheetId="178" r:id="rId9"/>
    <sheet name="PS_Nomad" sheetId="179" r:id="rId10"/>
    <sheet name="Group_Summary" sheetId="18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5" i="179" l="1"/>
  <c r="O16" i="178"/>
  <c r="O19" i="177"/>
  <c r="P8" i="176"/>
</calcChain>
</file>

<file path=xl/sharedStrings.xml><?xml version="1.0" encoding="utf-8"?>
<sst xmlns="http://schemas.openxmlformats.org/spreadsheetml/2006/main" count="493" uniqueCount="123">
  <si>
    <t>expenseId</t>
  </si>
  <si>
    <t>date</t>
  </si>
  <si>
    <t>category</t>
  </si>
  <si>
    <t>description</t>
  </si>
  <si>
    <t>amount</t>
  </si>
  <si>
    <t>currency</t>
  </si>
  <si>
    <t>appliedRate</t>
  </si>
  <si>
    <t>twdEquivalent</t>
  </si>
  <si>
    <t>payerUID</t>
  </si>
  <si>
    <t>shares</t>
  </si>
  <si>
    <t>paymentMethod</t>
  </si>
  <si>
    <t>walletId</t>
  </si>
  <si>
    <t>notes</t>
  </si>
  <si>
    <t>shareCount</t>
  </si>
  <si>
    <t>e177132006101941hq</t>
  </si>
  <si>
    <t>food</t>
  </si>
  <si>
    <t>火車票</t>
  </si>
  <si>
    <t>EUR</t>
  </si>
  <si>
    <t>u001</t>
  </si>
  <si>
    <t>u001|u002|u003</t>
  </si>
  <si>
    <t>credit</t>
  </si>
  <si>
    <t>e1771319666919vulk</t>
  </si>
  <si>
    <t>ticket</t>
  </si>
  <si>
    <t>印加古道</t>
  </si>
  <si>
    <t>USD</t>
  </si>
  <si>
    <t>u002</t>
  </si>
  <si>
    <t>u001|u002</t>
  </si>
  <si>
    <t>e17713196196831l0s</t>
  </si>
  <si>
    <t>登山團</t>
  </si>
  <si>
    <t>e1770695268320tf8p</t>
  </si>
  <si>
    <t>stay</t>
  </si>
  <si>
    <t>司</t>
  </si>
  <si>
    <t>JPY</t>
  </si>
  <si>
    <t>u004</t>
  </si>
  <si>
    <t>cash</t>
  </si>
  <si>
    <t>w1770695234668</t>
  </si>
  <si>
    <t>e1770695254451094h</t>
  </si>
  <si>
    <t>景</t>
  </si>
  <si>
    <t>e17706951607245owd</t>
  </si>
  <si>
    <t>央</t>
  </si>
  <si>
    <t>w1770695130028</t>
  </si>
  <si>
    <t>e17706951478926kvn</t>
  </si>
  <si>
    <t>縮</t>
  </si>
  <si>
    <t>e177069510280038cn</t>
  </si>
  <si>
    <t>個</t>
  </si>
  <si>
    <t>ownerUID</t>
  </si>
  <si>
    <t>originalAmount</t>
  </si>
  <si>
    <t>balance</t>
  </si>
  <si>
    <t>rate</t>
  </si>
  <si>
    <t>createdAt</t>
  </si>
  <si>
    <t>2026-02-10T03:45:30.028Z</t>
  </si>
  <si>
    <t>2026-02-10T03:47:14.668Z</t>
  </si>
  <si>
    <t>u003</t>
  </si>
  <si>
    <t>日期</t>
  </si>
  <si>
    <t>描述</t>
  </si>
  <si>
    <t>方式</t>
  </si>
  <si>
    <t>原幣</t>
  </si>
  <si>
    <t>匯率</t>
  </si>
  <si>
    <t>台幣總額</t>
  </si>
  <si>
    <t>每人應攤</t>
  </si>
  <si>
    <t>合計</t>
  </si>
  <si>
    <t>幣別</t>
  </si>
  <si>
    <t>屬性</t>
  </si>
  <si>
    <t>我的負擔</t>
  </si>
  <si>
    <t>代墊債權</t>
  </si>
  <si>
    <t>幫人代墊</t>
  </si>
  <si>
    <t>個人私費</t>
  </si>
  <si>
    <t>應攤總額(B)</t>
  </si>
  <si>
    <t>公帳分回(C)</t>
  </si>
  <si>
    <t>ID 對照表 (ROSTER)</t>
  </si>
  <si>
    <t>🐬 Smile</t>
  </si>
  <si>
    <t>🌻 Jiani</t>
  </si>
  <si>
    <t>⚽ Nomad</t>
  </si>
  <si>
    <t>🍔 Shared</t>
  </si>
  <si>
    <t>🍴 food</t>
  </si>
  <si>
    <t>🐬 Smile, 🌻 Jiani, ⚽ Nomad</t>
  </si>
  <si>
    <t>🎫 ticket</t>
  </si>
  <si>
    <t>🐬 Smile, 🌻 Jiani</t>
  </si>
  <si>
    <t>公款支付</t>
  </si>
  <si>
    <t>🏠 stay</t>
  </si>
  <si>
    <t>JPY 總計</t>
  </si>
  <si>
    <t>USD 總計</t>
  </si>
  <si>
    <t>TWD 總負擔</t>
  </si>
  <si>
    <t>他人支付(我分攤)</t>
  </si>
  <si>
    <t>總金額</t>
  </si>
  <si>
    <t>佔比 (%)</t>
  </si>
  <si>
    <t>預繳/代墊(A)</t>
  </si>
  <si>
    <t>最終應收/補</t>
  </si>
  <si>
    <t>錢包動態總覽</t>
  </si>
  <si>
    <t>錢包ID</t>
  </si>
  <si>
    <t>初始額度</t>
  </si>
  <si>
    <t>原幣額</t>
  </si>
  <si>
    <t>本表記錄流出</t>
  </si>
  <si>
    <t>結算估計剩餘</t>
  </si>
  <si>
    <t>總代墊(A)</t>
  </si>
  <si>
    <t>應攤總負擔(B)</t>
  </si>
  <si>
    <t>淨應收/補狀態</t>
  </si>
  <si>
    <t>【 詳細消費紀錄 】</t>
  </si>
  <si>
    <t>w1771383644138</t>
  </si>
  <si>
    <t>w1771383765050</t>
  </si>
  <si>
    <t>🧦 gear</t>
  </si>
  <si>
    <t>吃大餐</t>
  </si>
  <si>
    <t>【 資產概況 (個人錢包) 】</t>
  </si>
  <si>
    <t>【 終局債務清算 】</t>
  </si>
  <si>
    <t>公款殘值退回(D)</t>
  </si>
  <si>
    <t>e1771383786858tg84</t>
  </si>
  <si>
    <t>gear</t>
  </si>
  <si>
    <t>2026-02-18T03:00:44.138Z</t>
  </si>
  <si>
    <t>2026-02-18T03:02:45.050Z</t>
  </si>
  <si>
    <r>
      <rPr>
        <sz val="12"/>
        <color theme="1"/>
        <rFont val="新細明體"/>
        <family val="2"/>
        <charset val="136"/>
      </rPr>
      <t>擁有者</t>
    </r>
  </si>
  <si>
    <r>
      <rPr>
        <sz val="16"/>
        <color theme="1"/>
        <rFont val="Iansui"/>
        <family val="3"/>
        <charset val="136"/>
      </rPr>
      <t>類別</t>
    </r>
  </si>
  <si>
    <r>
      <rPr>
        <sz val="16"/>
        <color theme="1"/>
        <rFont val="Iansui"/>
        <family val="3"/>
        <charset val="136"/>
      </rPr>
      <t>支付者</t>
    </r>
  </si>
  <si>
    <r>
      <rPr>
        <sz val="16"/>
        <color theme="1"/>
        <rFont val="Iansui"/>
        <family val="3"/>
        <charset val="136"/>
      </rPr>
      <t>分攤名單</t>
    </r>
  </si>
  <si>
    <r>
      <rPr>
        <sz val="16"/>
        <color theme="1"/>
        <rFont val="Iansui"/>
        <family val="3"/>
        <charset val="136"/>
      </rPr>
      <t>消費類別</t>
    </r>
  </si>
  <si>
    <r>
      <t xml:space="preserve">🔴 </t>
    </r>
    <r>
      <rPr>
        <sz val="16"/>
        <color theme="1"/>
        <rFont val="Iansui"/>
        <family val="3"/>
        <charset val="136"/>
      </rPr>
      <t>須補交</t>
    </r>
    <r>
      <rPr>
        <sz val="16"/>
        <color theme="1"/>
        <rFont val="Segoe UI Emoji"/>
        <family val="2"/>
      </rPr>
      <t xml:space="preserve"> $38,453</t>
    </r>
  </si>
  <si>
    <r>
      <rPr>
        <sz val="16"/>
        <color theme="1"/>
        <rFont val="Iansui"/>
        <family val="3"/>
        <charset val="136"/>
      </rPr>
      <t>初始額度</t>
    </r>
  </si>
  <si>
    <r>
      <rPr>
        <sz val="16"/>
        <color theme="1"/>
        <rFont val="Iansui"/>
        <family val="3"/>
        <charset val="136"/>
      </rPr>
      <t>公帳分回</t>
    </r>
    <r>
      <rPr>
        <sz val="16"/>
        <color theme="1"/>
        <rFont val="Segoe UI Emoji"/>
        <family val="2"/>
      </rPr>
      <t>(C)</t>
    </r>
  </si>
  <si>
    <r>
      <t xml:space="preserve">🟢 </t>
    </r>
    <r>
      <rPr>
        <sz val="16"/>
        <color theme="1"/>
        <rFont val="Iansui"/>
        <family val="3"/>
        <charset val="136"/>
      </rPr>
      <t>應收回</t>
    </r>
    <r>
      <rPr>
        <sz val="16"/>
        <color theme="1"/>
        <rFont val="Segoe UI Emoji"/>
        <family val="2"/>
      </rPr>
      <t xml:space="preserve"> $55,238</t>
    </r>
  </si>
  <si>
    <r>
      <t xml:space="preserve">🔴 </t>
    </r>
    <r>
      <rPr>
        <sz val="16"/>
        <color theme="1"/>
        <rFont val="Iansui"/>
        <family val="3"/>
        <charset val="136"/>
      </rPr>
      <t>須補交</t>
    </r>
    <r>
      <rPr>
        <sz val="16"/>
        <color theme="1"/>
        <rFont val="Segoe UI Emoji"/>
        <family val="2"/>
      </rPr>
      <t xml:space="preserve"> $17,434</t>
    </r>
  </si>
  <si>
    <r>
      <rPr>
        <sz val="16"/>
        <color theme="1"/>
        <rFont val="Iansui"/>
        <family val="3"/>
        <charset val="136"/>
      </rPr>
      <t>成員</t>
    </r>
  </si>
  <si>
    <r>
      <rPr>
        <sz val="16"/>
        <color theme="1"/>
        <rFont val="Iansui"/>
        <family val="3"/>
        <charset val="136"/>
      </rPr>
      <t>狀態</t>
    </r>
  </si>
  <si>
    <r>
      <t xml:space="preserve">🔴 </t>
    </r>
    <r>
      <rPr>
        <sz val="16"/>
        <color theme="1"/>
        <rFont val="Iansui"/>
        <family val="3"/>
        <charset val="136"/>
      </rPr>
      <t>須補</t>
    </r>
  </si>
  <si>
    <r>
      <t xml:space="preserve">🟢 </t>
    </r>
    <r>
      <rPr>
        <sz val="16"/>
        <color theme="1"/>
        <rFont val="Iansui"/>
        <family val="3"/>
        <charset val="136"/>
      </rPr>
      <t>拿回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</si>
</sst>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$&quot;#,##0"/>
    <numFmt numFmtId="177" formatCode="yyyy/mm/dd"/>
    <numFmt numFmtId="178" formatCode="0.0%\ "/>
  </numFmts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Iansui"/>
      <family val="3"/>
      <charset val="136"/>
    </font>
    <font>
      <sz val="12"/>
      <color rgb="FFFFFFFF"/>
      <name val="新細明體"/>
      <family val="2"/>
      <charset val="136"/>
      <scheme val="minor"/>
    </font>
    <font>
      <sz val="16"/>
      <color theme="1"/>
      <name val="Iansui"/>
      <family val="3"/>
      <charset val="136"/>
    </font>
    <font>
      <sz val="16"/>
      <color rgb="FFFFFFFF"/>
      <name val="Iansui"/>
      <family val="3"/>
      <charset val="136"/>
    </font>
    <font>
      <b/>
      <sz val="22"/>
      <color theme="1"/>
      <name val="Iansui"/>
      <family val="3"/>
      <charset val="136"/>
    </font>
    <font>
      <b/>
      <sz val="22"/>
      <color rgb="FF0369A1"/>
      <name val="Iansui"/>
      <family val="3"/>
      <charset val="136"/>
    </font>
    <font>
      <sz val="16"/>
      <color theme="1"/>
      <name val="Segoe UI Emoji"/>
      <family val="2"/>
    </font>
    <font>
      <sz val="12"/>
      <color rgb="FFFFFFFF"/>
      <name val="Segoe UI Emoji"/>
      <family val="2"/>
    </font>
    <font>
      <sz val="12"/>
      <color theme="1"/>
      <name val="Segoe UI Emoji"/>
      <family val="2"/>
    </font>
    <font>
      <sz val="12"/>
      <color theme="1"/>
      <name val="新細明體"/>
      <family val="2"/>
      <charset val="136"/>
    </font>
    <font>
      <b/>
      <sz val="26"/>
      <color rgb="FF323232"/>
      <name val="Segoe UI Emoji"/>
      <family val="2"/>
    </font>
  </fonts>
  <fills count="10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E0F2FE"/>
        <bgColor indexed="64"/>
      </patternFill>
    </fill>
    <fill>
      <patternFill patternType="solid">
        <fgColor rgb="FF0369A1"/>
        <bgColor indexed="64"/>
      </patternFill>
    </fill>
    <fill>
      <patternFill patternType="solid">
        <fgColor rgb="FFFFEDD5"/>
        <bgColor indexed="64"/>
      </patternFill>
    </fill>
    <fill>
      <patternFill patternType="solid">
        <fgColor rgb="FFFCFC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22" fontId="0" fillId="0" borderId="0" xfId="0" applyNumberFormat="1">
      <alignment vertical="center"/>
    </xf>
    <xf numFmtId="0" fontId="3" fillId="7" borderId="0" xfId="0" applyFont="1" applyFill="1">
      <alignment vertical="center"/>
    </xf>
    <xf numFmtId="0" fontId="4" fillId="0" borderId="0" xfId="0" applyFont="1">
      <alignment vertical="center"/>
    </xf>
    <xf numFmtId="22" fontId="4" fillId="0" borderId="0" xfId="0" applyNumberFormat="1" applyFont="1">
      <alignment vertical="center"/>
    </xf>
    <xf numFmtId="0" fontId="5" fillId="7" borderId="0" xfId="0" applyFont="1" applyFill="1">
      <alignment vertical="center"/>
    </xf>
    <xf numFmtId="0" fontId="4" fillId="6" borderId="0" xfId="0" applyFont="1" applyFill="1">
      <alignment vertical="center"/>
    </xf>
    <xf numFmtId="177" fontId="4" fillId="0" borderId="0" xfId="0" applyNumberFormat="1" applyFont="1">
      <alignment vertical="center"/>
    </xf>
    <xf numFmtId="0" fontId="6" fillId="0" borderId="0" xfId="0" applyFont="1">
      <alignment vertical="center"/>
    </xf>
    <xf numFmtId="176" fontId="4" fillId="5" borderId="0" xfId="0" applyNumberFormat="1" applyFont="1" applyFill="1">
      <alignment vertical="center"/>
    </xf>
    <xf numFmtId="176" fontId="4" fillId="2" borderId="0" xfId="0" applyNumberFormat="1" applyFont="1" applyFill="1">
      <alignment vertical="center"/>
    </xf>
    <xf numFmtId="176" fontId="4" fillId="3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8" fontId="4" fillId="5" borderId="0" xfId="0" applyNumberFormat="1" applyFont="1" applyFill="1">
      <alignment vertical="center"/>
    </xf>
    <xf numFmtId="178" fontId="4" fillId="2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0" fontId="7" fillId="0" borderId="0" xfId="0" applyFont="1">
      <alignment vertical="center"/>
    </xf>
    <xf numFmtId="0" fontId="4" fillId="8" borderId="0" xfId="0" applyFont="1" applyFill="1">
      <alignment vertical="center"/>
    </xf>
    <xf numFmtId="0" fontId="8" fillId="6" borderId="0" xfId="0" applyFont="1" applyFill="1">
      <alignment vertical="center"/>
    </xf>
    <xf numFmtId="0" fontId="9" fillId="7" borderId="0" xfId="0" applyFont="1" applyFill="1">
      <alignment vertical="center"/>
    </xf>
    <xf numFmtId="0" fontId="10" fillId="0" borderId="0" xfId="0" applyFont="1">
      <alignment vertical="center"/>
    </xf>
    <xf numFmtId="0" fontId="8" fillId="0" borderId="0" xfId="0" applyFont="1">
      <alignment vertical="center"/>
    </xf>
    <xf numFmtId="0" fontId="8" fillId="5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8" fillId="4" borderId="0" xfId="0" applyFont="1" applyFill="1">
      <alignment vertical="center"/>
    </xf>
    <xf numFmtId="0" fontId="2" fillId="9" borderId="0" xfId="0" applyFont="1" applyFill="1">
      <alignment vertical="center"/>
    </xf>
    <xf numFmtId="0" fontId="12" fillId="9" borderId="0" xfId="0" applyFont="1" applyFill="1">
      <alignment vertical="center"/>
    </xf>
  </cellXfs>
  <cellStyles count="1">
    <cellStyle name="一般" xfId="0" builtinId="0"/>
  </cellStyles>
  <dxfs count="123">
    <dxf>
      <font>
        <b val="0"/>
        <i val="0"/>
        <strike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numFmt numFmtId="178" formatCode="0.0%\ "/>
    </dxf>
    <dxf>
      <numFmt numFmtId="176" formatCode="&quot;$&quot;#,##0"/>
    </dxf>
    <dxf>
      <font>
        <b val="0"/>
        <i val="0"/>
        <strike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7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numFmt numFmtId="178" formatCode="0.0%\ "/>
    </dxf>
    <dxf>
      <numFmt numFmtId="17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7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90EE9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numFmt numFmtId="178" formatCode="0.0%\ "/>
    </dxf>
    <dxf>
      <numFmt numFmtId="17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7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numFmt numFmtId="178" formatCode="0.0%\ "/>
    </dxf>
    <dxf>
      <numFmt numFmtId="176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Segoe UI Emoji"/>
        <family val="2"/>
        <scheme val="none"/>
      </font>
      <fill>
        <patternFill patternType="solid">
          <fgColor indexed="64"/>
          <bgColor rgb="FFFFB6C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177" formatCode="yyyy/mm/dd"/>
    </dxf>
    <dxf>
      <font>
        <b val="0"/>
        <i val="0"/>
        <strike val="0"/>
        <outline val="0"/>
        <shadow val="0"/>
        <u val="none"/>
        <vertAlign val="baseline"/>
        <sz val="12"/>
        <name val="Segoe UI Emoj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  <numFmt numFmtId="27" formatCode="yyyy/m/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Iansui"/>
        <family val="3"/>
        <charset val="136"/>
        <scheme val="none"/>
      </font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Group_Details!$O$3</c:f>
              <c:strCache>
                <c:ptCount val="1"/>
                <c:pt idx="0">
                  <c:v>總金額</c:v>
                </c:pt>
              </c:strCache>
            </c:strRef>
          </c:tx>
          <c:dPt>
            <c:idx val="0"/>
            <c:bubble3D val="0"/>
            <c:spPr>
              <a:solidFill>
                <a:srgbClr val="98FB98"/>
              </a:solidFill>
            </c:spPr>
            <c:extLst>
              <c:ext xmlns:c16="http://schemas.microsoft.com/office/drawing/2014/chart" uri="{C3380CC4-5D6E-409C-BE32-E72D297353CC}">
                <c16:uniqueId val="{00000001-FCFA-480C-9DFF-91C216BE3314}"/>
              </c:ext>
            </c:extLst>
          </c:dPt>
          <c:dPt>
            <c:idx val="1"/>
            <c:bubble3D val="0"/>
            <c:spPr>
              <a:solidFill>
                <a:srgbClr val="FFB6C1"/>
              </a:solidFill>
            </c:spPr>
            <c:extLst>
              <c:ext xmlns:c16="http://schemas.microsoft.com/office/drawing/2014/chart" uri="{C3380CC4-5D6E-409C-BE32-E72D297353CC}">
                <c16:uniqueId val="{00000002-FCFA-480C-9DFF-91C216BE3314}"/>
              </c:ext>
            </c:extLst>
          </c:dPt>
          <c:dPt>
            <c:idx val="2"/>
            <c:bubble3D val="0"/>
            <c:spPr>
              <a:solidFill>
                <a:srgbClr val="90EE90"/>
              </a:solidFill>
            </c:spPr>
            <c:extLst>
              <c:ext xmlns:c16="http://schemas.microsoft.com/office/drawing/2014/chart" uri="{C3380CC4-5D6E-409C-BE32-E72D297353CC}">
                <c16:uniqueId val="{00000003-FCFA-480C-9DFF-91C216BE3314}"/>
              </c:ext>
            </c:extLst>
          </c:dPt>
          <c:dPt>
            <c:idx val="3"/>
            <c:bubble3D val="0"/>
            <c:spPr>
              <a:solidFill>
                <a:srgbClr val="FFFACD"/>
              </a:solidFill>
            </c:spPr>
            <c:extLst>
              <c:ext xmlns:c16="http://schemas.microsoft.com/office/drawing/2014/chart" uri="{C3380CC4-5D6E-409C-BE32-E72D297353CC}">
                <c16:uniqueId val="{00000004-FCFA-480C-9DFF-91C216BE3314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🧦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gear
$66,000 (24%)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CFA-480C-9DFF-91C216BE3314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🍴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food
$188,202 (70%)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CFA-480C-9DFF-91C216BE3314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🎫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ticket
$15,813 (6%)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CFA-480C-9DFF-91C216BE3314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🏠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stay
$132 (0%)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CFA-480C-9DFF-91C216BE331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Group_Details!$N$4:$N$7</c:f>
              <c:strCache>
                <c:ptCount val="4"/>
                <c:pt idx="0">
                  <c:v>🧦 gear</c:v>
                </c:pt>
                <c:pt idx="1">
                  <c:v>🍴 food</c:v>
                </c:pt>
                <c:pt idx="2">
                  <c:v>🎫 ticket</c:v>
                </c:pt>
                <c:pt idx="3">
                  <c:v>🏠 stay</c:v>
                </c:pt>
              </c:strCache>
            </c:strRef>
          </c:cat>
          <c:val>
            <c:numRef>
              <c:f>Group_Details!$O$4:$O$7</c:f>
              <c:numCache>
                <c:formatCode>"$"#,##0</c:formatCode>
                <c:ptCount val="4"/>
                <c:pt idx="0">
                  <c:v>66000</c:v>
                </c:pt>
                <c:pt idx="1">
                  <c:v>188202.1</c:v>
                </c:pt>
                <c:pt idx="2">
                  <c:v>15813</c:v>
                </c:pt>
                <c:pt idx="3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A-480C-9DFF-91C216BE3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PS_Smile!$N$15</c:f>
              <c:strCache>
                <c:ptCount val="1"/>
                <c:pt idx="0">
                  <c:v>總金額</c:v>
                </c:pt>
              </c:strCache>
            </c:strRef>
          </c:tx>
          <c:dPt>
            <c:idx val="0"/>
            <c:bubble3D val="0"/>
            <c:spPr>
              <a:solidFill>
                <a:srgbClr val="98FB98"/>
              </a:solidFill>
            </c:spPr>
            <c:extLst>
              <c:ext xmlns:c16="http://schemas.microsoft.com/office/drawing/2014/chart" uri="{C3380CC4-5D6E-409C-BE32-E72D297353CC}">
                <c16:uniqueId val="{00000001-1106-48FA-BACC-AD4FBE413F47}"/>
              </c:ext>
            </c:extLst>
          </c:dPt>
          <c:dPt>
            <c:idx val="1"/>
            <c:bubble3D val="0"/>
            <c:spPr>
              <a:solidFill>
                <a:srgbClr val="FFB6C1"/>
              </a:solidFill>
            </c:spPr>
            <c:extLst>
              <c:ext xmlns:c16="http://schemas.microsoft.com/office/drawing/2014/chart" uri="{C3380CC4-5D6E-409C-BE32-E72D297353CC}">
                <c16:uniqueId val="{00000002-1106-48FA-BACC-AD4FBE413F47}"/>
              </c:ext>
            </c:extLst>
          </c:dPt>
          <c:dPt>
            <c:idx val="2"/>
            <c:bubble3D val="0"/>
            <c:spPr>
              <a:solidFill>
                <a:srgbClr val="90EE90"/>
              </a:solidFill>
            </c:spPr>
            <c:extLst>
              <c:ext xmlns:c16="http://schemas.microsoft.com/office/drawing/2014/chart" uri="{C3380CC4-5D6E-409C-BE32-E72D297353CC}">
                <c16:uniqueId val="{00000003-1106-48FA-BACC-AD4FBE413F47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🧦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gear
$22,000 (16%)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106-48FA-BACC-AD4FBE413F47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🍴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food
$110,453 (79%)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106-48FA-BACC-AD4FBE413F47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🎫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ticket
$7,907 (6%)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106-48FA-BACC-AD4FBE413F4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PS_Smile!$M$16:$M$18</c:f>
              <c:strCache>
                <c:ptCount val="3"/>
                <c:pt idx="0">
                  <c:v>🧦 gear</c:v>
                </c:pt>
                <c:pt idx="1">
                  <c:v>🍴 food</c:v>
                </c:pt>
                <c:pt idx="2">
                  <c:v>🎫 ticket</c:v>
                </c:pt>
              </c:strCache>
            </c:strRef>
          </c:cat>
          <c:val>
            <c:numRef>
              <c:f>PS_Smile!$N$16:$N$18</c:f>
              <c:numCache>
                <c:formatCode>"$"#,##0</c:formatCode>
                <c:ptCount val="3"/>
                <c:pt idx="0">
                  <c:v>22000</c:v>
                </c:pt>
                <c:pt idx="1">
                  <c:v>110453.45</c:v>
                </c:pt>
                <c:pt idx="2">
                  <c:v>7906.5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6-48FA-BACC-AD4FBE413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tx>
            <c:strRef>
              <c:f>PS_Jiani!$N$12</c:f>
              <c:strCache>
                <c:ptCount val="1"/>
                <c:pt idx="0">
                  <c:v>總金額</c:v>
                </c:pt>
              </c:strCache>
            </c:strRef>
          </c:tx>
          <c:dPt>
            <c:idx val="0"/>
            <c:bubble3D val="0"/>
            <c:spPr>
              <a:solidFill>
                <a:srgbClr val="98FB98"/>
              </a:solidFill>
            </c:spPr>
            <c:extLst>
              <c:ext xmlns:c16="http://schemas.microsoft.com/office/drawing/2014/chart" uri="{C3380CC4-5D6E-409C-BE32-E72D297353CC}">
                <c16:uniqueId val="{00000001-53AC-40D2-A67F-485C55159073}"/>
              </c:ext>
            </c:extLst>
          </c:dPt>
          <c:dPt>
            <c:idx val="1"/>
            <c:bubble3D val="0"/>
            <c:spPr>
              <a:solidFill>
                <a:srgbClr val="FFB6C1"/>
              </a:solidFill>
            </c:spPr>
            <c:extLst>
              <c:ext xmlns:c16="http://schemas.microsoft.com/office/drawing/2014/chart" uri="{C3380CC4-5D6E-409C-BE32-E72D297353CC}">
                <c16:uniqueId val="{00000002-53AC-40D2-A67F-485C55159073}"/>
              </c:ext>
            </c:extLst>
          </c:dPt>
          <c:dPt>
            <c:idx val="2"/>
            <c:bubble3D val="0"/>
            <c:spPr>
              <a:solidFill>
                <a:srgbClr val="90EE90"/>
              </a:solidFill>
            </c:spPr>
            <c:extLst>
              <c:ext xmlns:c16="http://schemas.microsoft.com/office/drawing/2014/chart" uri="{C3380CC4-5D6E-409C-BE32-E72D297353CC}">
                <c16:uniqueId val="{00000003-53AC-40D2-A67F-485C55159073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🧦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gear
$22,000 (18%)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3AC-40D2-A67F-485C55159073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🍴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food
$93,601 (76%)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53AC-40D2-A67F-485C55159073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🎫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ticket
$7,907 (6%)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3AC-40D2-A67F-485C5515907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PS_Jiani!$M$13:$M$15</c:f>
              <c:strCache>
                <c:ptCount val="3"/>
                <c:pt idx="0">
                  <c:v>🧦 gear</c:v>
                </c:pt>
                <c:pt idx="1">
                  <c:v>🍴 food</c:v>
                </c:pt>
                <c:pt idx="2">
                  <c:v>🎫 ticket</c:v>
                </c:pt>
              </c:strCache>
            </c:strRef>
          </c:cat>
          <c:val>
            <c:numRef>
              <c:f>PS_Jiani!$N$13:$N$15</c:f>
              <c:numCache>
                <c:formatCode>"$"#,##0</c:formatCode>
                <c:ptCount val="3"/>
                <c:pt idx="0">
                  <c:v>22000</c:v>
                </c:pt>
                <c:pt idx="1">
                  <c:v>93600.95</c:v>
                </c:pt>
                <c:pt idx="2">
                  <c:v>7906.5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C-40D2-A67F-485C55159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tx>
            <c:strRef>
              <c:f>PS_Nomad!$N$12</c:f>
              <c:strCache>
                <c:ptCount val="1"/>
                <c:pt idx="0">
                  <c:v>總金額</c:v>
                </c:pt>
              </c:strCache>
            </c:strRef>
          </c:tx>
          <c:dPt>
            <c:idx val="0"/>
            <c:bubble3D val="0"/>
            <c:spPr>
              <a:solidFill>
                <a:srgbClr val="98FB98"/>
              </a:solidFill>
            </c:spPr>
            <c:extLst>
              <c:ext xmlns:c16="http://schemas.microsoft.com/office/drawing/2014/chart" uri="{C3380CC4-5D6E-409C-BE32-E72D297353CC}">
                <c16:uniqueId val="{00000001-D9DB-495D-9B3F-C0A445254D91}"/>
              </c:ext>
            </c:extLst>
          </c:dPt>
          <c:dPt>
            <c:idx val="1"/>
            <c:bubble3D val="0"/>
            <c:spPr>
              <a:solidFill>
                <a:srgbClr val="FFB6C1"/>
              </a:solidFill>
            </c:spPr>
            <c:extLst>
              <c:ext xmlns:c16="http://schemas.microsoft.com/office/drawing/2014/chart" uri="{C3380CC4-5D6E-409C-BE32-E72D297353CC}">
                <c16:uniqueId val="{00000002-D9DB-495D-9B3F-C0A445254D91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🧦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gear
$22,000 (96%)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9DB-495D-9B3F-C0A445254D91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defRPr>
                    </a:pPr>
                    <a:r>
                      <a:rPr lang="zh-TW" altLang="en-US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🍴 </a:t>
                    </a:r>
                    <a:r>
                      <a:rPr lang="en-US" altLang="zh-TW" sz="1400">
                        <a:solidFill>
                          <a:srgbClr val="000000"/>
                        </a:solidFill>
                        <a:latin typeface="Segoe UI Emoji" panose="020B0502040204020203" pitchFamily="34" charset="0"/>
                      </a:rPr>
                      <a:t>food
$835 (4%)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9DB-495D-9B3F-C0A445254D9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PS_Nomad!$M$13:$M$14</c:f>
              <c:strCache>
                <c:ptCount val="2"/>
                <c:pt idx="0">
                  <c:v>🧦 gear</c:v>
                </c:pt>
                <c:pt idx="1">
                  <c:v>🍴 food</c:v>
                </c:pt>
              </c:strCache>
            </c:strRef>
          </c:cat>
          <c:val>
            <c:numRef>
              <c:f>PS_Nomad!$N$13:$N$14</c:f>
              <c:numCache>
                <c:formatCode>"$"#,##0</c:formatCode>
                <c:ptCount val="2"/>
                <c:pt idx="0">
                  <c:v>22000</c:v>
                </c:pt>
                <c:pt idx="1">
                  <c:v>835.19999999999993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B-495D-9B3F-C0A445254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  <c:userShapes r:id="rId1"/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4349750</xdr:colOff>
      <xdr:row>3</xdr:row>
      <xdr:rowOff>50800</xdr:rowOff>
    </xdr:from>
    <xdr:to>
      <xdr:col>13</xdr:col>
      <xdr:colOff>615950</xdr:colOff>
      <xdr:row>6</xdr:row>
      <xdr:rowOff>92075</xdr:rowOff>
    </xdr:to>
    <xdr:sp macro="Btn1_ImportData" textlink="">
      <xdr:nvSpPr>
        <xdr:cNvPr id="2" name="矩形: 圓角 1">
          <a:extLst>
            <a:ext uri="{FF2B5EF4-FFF2-40B4-BE49-F238E27FC236}">
              <a16:creationId xmlns:a16="http://schemas.microsoft.com/office/drawing/2014/main" id="{A46BC8ED-B10C-50D7-56C4-2B5DA6B63AE3}"/>
            </a:ext>
          </a:extLst>
        </xdr:cNvPr>
        <xdr:cNvSpPr/>
      </xdr:nvSpPr>
      <xdr:spPr>
        <a:xfrm>
          <a:off x="5721350" y="974725"/>
          <a:ext cx="10220325" cy="698500"/>
        </a:xfrm>
        <a:prstGeom prst="roundRect">
          <a:avLst/>
        </a:prstGeom>
        <a:solidFill>
          <a:srgbClr val="9BBB5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</a:rPr>
            <a:t>1.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 </a:t>
          </a:r>
          <a:r>
            <a:rPr lang="zh-TW" altLang="en-US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自動匯入 </a:t>
          </a:r>
          <a:r>
            <a:rPr lang="en-US" altLang="zh-TW" sz="2800" b="0">
              <a:solidFill>
                <a:srgbClr val="FFFFFF"/>
              </a:solidFill>
              <a:latin typeface="Iansui" pitchFamily="2" charset="-120"/>
              <a:ea typeface="金梅毛行書" panose="02010609000101010101" pitchFamily="49" charset="-120"/>
            </a:rPr>
            <a:t>(Import)</a:t>
          </a:r>
          <a:endParaRPr lang="zh-TW" altLang="en-US" sz="2800" b="0">
            <a:solidFill>
              <a:srgbClr val="FFFFFF"/>
            </a:solidFill>
            <a:latin typeface="Iansui" pitchFamily="2" charset="-120"/>
            <a:ea typeface="金梅毛行書" panose="02010609000101010101" pitchFamily="49" charset="-120"/>
          </a:endParaRPr>
        </a:p>
      </xdr:txBody>
    </xdr:sp>
    <xdr:clientData/>
  </xdr:twoCellAnchor>
  <xdr:twoCellAnchor>
    <xdr:from>
      <xdr:col>0</xdr:col>
      <xdr:colOff>187325</xdr:colOff>
      <xdr:row>8</xdr:row>
      <xdr:rowOff>53975</xdr:rowOff>
    </xdr:from>
    <xdr:to>
      <xdr:col>5</xdr:col>
      <xdr:colOff>568325</xdr:colOff>
      <xdr:row>11</xdr:row>
      <xdr:rowOff>95250</xdr:rowOff>
    </xdr:to>
    <xdr:sp macro="Btn2_Settings" textlink="">
      <xdr:nvSpPr>
        <xdr:cNvPr id="3" name="矩形: 圓角 2">
          <a:extLst>
            <a:ext uri="{FF2B5EF4-FFF2-40B4-BE49-F238E27FC236}">
              <a16:creationId xmlns:a16="http://schemas.microsoft.com/office/drawing/2014/main" id="{F78A2200-F7C3-1D88-E0B1-4A2221319031}"/>
            </a:ext>
          </a:extLst>
        </xdr:cNvPr>
        <xdr:cNvSpPr/>
      </xdr:nvSpPr>
      <xdr:spPr>
        <a:xfrm>
          <a:off x="187325" y="2073275"/>
          <a:ext cx="10220325" cy="698500"/>
        </a:xfrm>
        <a:prstGeom prst="roundRect">
          <a:avLst/>
        </a:prstGeom>
        <a:solidFill>
          <a:srgbClr val="70707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2.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系統設定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(Settings)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4416425</xdr:colOff>
      <xdr:row>12</xdr:row>
      <xdr:rowOff>171450</xdr:rowOff>
    </xdr:from>
    <xdr:to>
      <xdr:col>13</xdr:col>
      <xdr:colOff>682625</xdr:colOff>
      <xdr:row>15</xdr:row>
      <xdr:rowOff>212725</xdr:rowOff>
    </xdr:to>
    <xdr:sp macro="Btn3_GroupDetails" textlink="">
      <xdr:nvSpPr>
        <xdr:cNvPr id="4" name="矩形: 圓角 3">
          <a:extLst>
            <a:ext uri="{FF2B5EF4-FFF2-40B4-BE49-F238E27FC236}">
              <a16:creationId xmlns:a16="http://schemas.microsoft.com/office/drawing/2014/main" id="{65A85481-8FEE-2BA2-A661-5B7B5547D2F0}"/>
            </a:ext>
          </a:extLst>
        </xdr:cNvPr>
        <xdr:cNvSpPr/>
      </xdr:nvSpPr>
      <xdr:spPr>
        <a:xfrm>
          <a:off x="5788025" y="3067050"/>
          <a:ext cx="10220325" cy="698500"/>
        </a:xfrm>
        <a:prstGeom prst="roundRect">
          <a:avLst/>
        </a:prstGeom>
        <a:solidFill>
          <a:srgbClr val="9696FA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3.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團體明細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(Group)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158750</xdr:colOff>
      <xdr:row>17</xdr:row>
      <xdr:rowOff>174625</xdr:rowOff>
    </xdr:from>
    <xdr:to>
      <xdr:col>5</xdr:col>
      <xdr:colOff>539750</xdr:colOff>
      <xdr:row>20</xdr:row>
      <xdr:rowOff>215900</xdr:rowOff>
    </xdr:to>
    <xdr:sp macro="Btn4_PersonalSheets" textlink="">
      <xdr:nvSpPr>
        <xdr:cNvPr id="5" name="矩形: 圓角 4">
          <a:extLst>
            <a:ext uri="{FF2B5EF4-FFF2-40B4-BE49-F238E27FC236}">
              <a16:creationId xmlns:a16="http://schemas.microsoft.com/office/drawing/2014/main" id="{B3EFE33B-30F7-2766-52B1-20BFF07ACE0A}"/>
            </a:ext>
          </a:extLst>
        </xdr:cNvPr>
        <xdr:cNvSpPr/>
      </xdr:nvSpPr>
      <xdr:spPr>
        <a:xfrm>
          <a:off x="158750" y="4165600"/>
          <a:ext cx="10220325" cy="6985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4.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個人分頁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(Personal)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2</xdr:col>
      <xdr:colOff>815975</xdr:colOff>
      <xdr:row>23</xdr:row>
      <xdr:rowOff>73025</xdr:rowOff>
    </xdr:from>
    <xdr:to>
      <xdr:col>8</xdr:col>
      <xdr:colOff>511175</xdr:colOff>
      <xdr:row>26</xdr:row>
      <xdr:rowOff>114300</xdr:rowOff>
    </xdr:to>
    <xdr:sp macro="Btn5_GroupSummary" textlink="">
      <xdr:nvSpPr>
        <xdr:cNvPr id="6" name="矩形: 圓角 5">
          <a:extLst>
            <a:ext uri="{FF2B5EF4-FFF2-40B4-BE49-F238E27FC236}">
              <a16:creationId xmlns:a16="http://schemas.microsoft.com/office/drawing/2014/main" id="{8EC8FF98-423B-2DE8-8770-1921C2A41D1D}"/>
            </a:ext>
          </a:extLst>
        </xdr:cNvPr>
        <xdr:cNvSpPr/>
      </xdr:nvSpPr>
      <xdr:spPr>
        <a:xfrm>
          <a:off x="2187575" y="5378450"/>
          <a:ext cx="10220325" cy="698500"/>
        </a:xfrm>
        <a:prstGeom prst="roundRect">
          <a:avLst/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5. </a:t>
          </a:r>
          <a:r>
            <a:rPr lang="zh-TW" altLang="en-US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終局結算 </a:t>
          </a:r>
          <a:r>
            <a:rPr lang="en-US" altLang="zh-TW" sz="2800" b="0">
              <a:solidFill>
                <a:srgbClr val="FFFFFF"/>
              </a:solidFill>
              <a:latin typeface="Segoe UI Emoji" panose="020B0502040204020203" pitchFamily="34" charset="0"/>
              <a:ea typeface="金梅毛行書" panose="02010609000101010101" pitchFamily="49" charset="-120"/>
              <a:cs typeface="+mn-cs"/>
            </a:rPr>
            <a:t>(Summary)</a:t>
          </a:r>
          <a:endParaRPr lang="zh-TW" altLang="en-US" sz="2800" b="0">
            <a:solidFill>
              <a:srgbClr val="FFFFFF"/>
            </a:solidFill>
            <a:latin typeface="Segoe UI Emoji" panose="020B0502040204020203" pitchFamily="34" charset="0"/>
            <a:ea typeface="金梅毛行書" panose="02010609000101010101" pitchFamily="49" charset="-120"/>
            <a:cs typeface="+mn-cs"/>
          </a:endParaRPr>
        </a:p>
      </xdr:txBody>
    </xdr:sp>
    <xdr:clientData/>
  </xdr:twoCellAnchor>
  <xdr:twoCellAnchor>
    <xdr:from>
      <xdr:col>0</xdr:col>
      <xdr:colOff>352425</xdr:colOff>
      <xdr:row>0</xdr:row>
      <xdr:rowOff>47625</xdr:rowOff>
    </xdr:from>
    <xdr:to>
      <xdr:col>10</xdr:col>
      <xdr:colOff>533400</xdr:colOff>
      <xdr:row>5</xdr:row>
      <xdr:rowOff>180975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1829F41F-F881-4DF0-BFFC-AD008953FFE1}"/>
            </a:ext>
          </a:extLst>
        </xdr:cNvPr>
        <xdr:cNvSpPr/>
      </xdr:nvSpPr>
      <xdr:spPr>
        <a:xfrm>
          <a:off x="352425" y="47625"/>
          <a:ext cx="13449300" cy="1495425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🐬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2026 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哆啦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A</a:t>
          </a:r>
          <a:r>
            <a:rPr lang="zh-TW" altLang="en-US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夢對帳系統 </a:t>
          </a:r>
          <a:r>
            <a:rPr lang="en-US" altLang="zh-TW" sz="4800" b="1">
              <a:solidFill>
                <a:srgbClr val="323232"/>
              </a:solidFill>
              <a:latin typeface="華康POP1體W5" panose="040B0509000000000000" pitchFamily="81" charset="-120"/>
              <a:ea typeface="華康POP1體W5" panose="040B0509000000000000" pitchFamily="81" charset="-120"/>
            </a:rPr>
            <a:t>(Colorful Icons)</a:t>
          </a:r>
          <a:endParaRPr lang="zh-TW" altLang="en-US" sz="4800" b="1">
            <a:solidFill>
              <a:srgbClr val="323232"/>
            </a:solidFill>
            <a:latin typeface="華康POP1體W5" panose="040B0509000000000000" pitchFamily="81" charset="-120"/>
            <a:ea typeface="華康POP1體W5" panose="040B0509000000000000" pitchFamily="81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41275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7CC6BED4-62E0-E733-2550-5E9C9288CBAF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241300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483FD787-7BB9-CEEB-B765-6F7D4943D4A4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584200</xdr:colOff>
      <xdr:row>1</xdr:row>
      <xdr:rowOff>95250</xdr:rowOff>
    </xdr:to>
    <xdr:sp macro="GoToHome" textlink="">
      <xdr:nvSpPr>
        <xdr:cNvPr id="2" name="矩形: 圓角 1">
          <a:extLst>
            <a:ext uri="{FF2B5EF4-FFF2-40B4-BE49-F238E27FC236}">
              <a16:creationId xmlns:a16="http://schemas.microsoft.com/office/drawing/2014/main" id="{432E3A93-034B-89FB-9F36-53F9D804711C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0</xdr:rowOff>
    </xdr:from>
    <xdr:to>
      <xdr:col>28</xdr:col>
      <xdr:colOff>76200</xdr:colOff>
      <xdr:row>18</xdr:row>
      <xdr:rowOff>41275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6BA0BB8-E1A7-0C42-A351-889C62D97C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1270000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F2C8EF64-EEF5-3BF2-6F75-8FF9C408C03D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0.66667</cdr:x>
      <cdr:y>0.875</cdr:y>
    </cdr:from>
    <cdr:to>
      <cdr:x>1</cdr:x>
      <cdr:y>1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2C1DE606-BAE1-07BE-6C6B-1F7F52D08077}"/>
            </a:ext>
          </a:extLst>
        </cdr:cNvPr>
        <cdr:cNvSpPr txBox="1"/>
      </cdr:nvSpPr>
      <cdr:spPr>
        <a:xfrm xmlns:a="http://schemas.openxmlformats.org/drawingml/2006/main">
          <a:off x="5130800" y="4495800"/>
          <a:ext cx="254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zh-TW" altLang="en-US" sz="2000" b="1" kern="1200">
              <a:solidFill>
                <a:srgbClr val="000000"/>
              </a:solidFill>
              <a:latin typeface="Iansui" pitchFamily="2" charset="-120"/>
            </a:rPr>
            <a:t>消費分佈統計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14</xdr:row>
      <xdr:rowOff>0</xdr:rowOff>
    </xdr:from>
    <xdr:to>
      <xdr:col>27</xdr:col>
      <xdr:colOff>76200</xdr:colOff>
      <xdr:row>31</xdr:row>
      <xdr:rowOff>60325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A25372B-7A82-D01A-850F-2111D0627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E293C837-6B40-2977-C4C4-465A155FDAC7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0.66667</cdr:x>
      <cdr:y>0.875</cdr:y>
    </cdr:from>
    <cdr:to>
      <cdr:x>1</cdr:x>
      <cdr:y>1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5BC6EC24-B840-3D40-D640-CAE5FBBF165B}"/>
            </a:ext>
          </a:extLst>
        </cdr:cNvPr>
        <cdr:cNvSpPr txBox="1"/>
      </cdr:nvSpPr>
      <cdr:spPr>
        <a:xfrm xmlns:a="http://schemas.openxmlformats.org/drawingml/2006/main">
          <a:off x="5130800" y="4495800"/>
          <a:ext cx="254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zh-TW" altLang="en-US" sz="2000" b="1" kern="1200">
              <a:solidFill>
                <a:srgbClr val="000000"/>
              </a:solidFill>
              <a:latin typeface="Iansui" pitchFamily="2" charset="-120"/>
            </a:rPr>
            <a:t>消費分佈統計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0</xdr:rowOff>
    </xdr:from>
    <xdr:to>
      <xdr:col>27</xdr:col>
      <xdr:colOff>76200</xdr:colOff>
      <xdr:row>28</xdr:row>
      <xdr:rowOff>60325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2FE5E5F9-C086-EA6F-B962-726036C48F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6C91DFC7-FA93-EA4F-6BCF-B4503EF8CD65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0.66667</cdr:x>
      <cdr:y>0.875</cdr:y>
    </cdr:from>
    <cdr:to>
      <cdr:x>1</cdr:x>
      <cdr:y>1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CAFC9EEB-8667-6458-84E0-1C8B99B3F628}"/>
            </a:ext>
          </a:extLst>
        </cdr:cNvPr>
        <cdr:cNvSpPr txBox="1"/>
      </cdr:nvSpPr>
      <cdr:spPr>
        <a:xfrm xmlns:a="http://schemas.openxmlformats.org/drawingml/2006/main">
          <a:off x="5130800" y="4495800"/>
          <a:ext cx="254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zh-TW" altLang="en-US" sz="2000" b="1" kern="1200">
              <a:solidFill>
                <a:srgbClr val="000000"/>
              </a:solidFill>
              <a:latin typeface="Iansui" pitchFamily="2" charset="-120"/>
            </a:rPr>
            <a:t>消費分佈統計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0</xdr:rowOff>
    </xdr:from>
    <xdr:to>
      <xdr:col>27</xdr:col>
      <xdr:colOff>76200</xdr:colOff>
      <xdr:row>28</xdr:row>
      <xdr:rowOff>60325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DFC902E1-F9F2-7321-8C6F-0B0F8A50F5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136525</xdr:colOff>
      <xdr:row>1</xdr:row>
      <xdr:rowOff>85725</xdr:rowOff>
    </xdr:to>
    <xdr:sp macro="GoToHome" textlink="">
      <xdr:nvSpPr>
        <xdr:cNvPr id="3" name="矩形: 圓角 2">
          <a:extLst>
            <a:ext uri="{FF2B5EF4-FFF2-40B4-BE49-F238E27FC236}">
              <a16:creationId xmlns:a16="http://schemas.microsoft.com/office/drawing/2014/main" id="{FC85AB15-E5ED-A9C5-13EA-A9BD93ECA071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0.66667</cdr:x>
      <cdr:y>0.875</cdr:y>
    </cdr:from>
    <cdr:to>
      <cdr:x>1</cdr:x>
      <cdr:y>1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E9EBA493-64C9-0AE5-1074-13C5A4DE1D98}"/>
            </a:ext>
          </a:extLst>
        </cdr:cNvPr>
        <cdr:cNvSpPr txBox="1"/>
      </cdr:nvSpPr>
      <cdr:spPr>
        <a:xfrm xmlns:a="http://schemas.openxmlformats.org/drawingml/2006/main">
          <a:off x="5130800" y="4495800"/>
          <a:ext cx="254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zh-TW" altLang="en-US" sz="2000" b="1" kern="1200">
              <a:solidFill>
                <a:srgbClr val="000000"/>
              </a:solidFill>
              <a:latin typeface="Iansui" pitchFamily="2" charset="-120"/>
            </a:rPr>
            <a:t>消費分佈統計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1</xdr:row>
      <xdr:rowOff>95250</xdr:rowOff>
    </xdr:from>
    <xdr:to>
      <xdr:col>15</xdr:col>
      <xdr:colOff>508000</xdr:colOff>
      <xdr:row>3</xdr:row>
      <xdr:rowOff>158750</xdr:rowOff>
    </xdr:to>
    <xdr:sp macro="" textlink="">
      <xdr:nvSpPr>
        <xdr:cNvPr id="2" name="矩形: 圓角 1">
          <a:extLst>
            <a:ext uri="{FF2B5EF4-FFF2-40B4-BE49-F238E27FC236}">
              <a16:creationId xmlns:a16="http://schemas.microsoft.com/office/drawing/2014/main" id="{6FCB52A0-838E-A003-8640-51F1CF4C618F}"/>
            </a:ext>
          </a:extLst>
        </xdr:cNvPr>
        <xdr:cNvSpPr/>
      </xdr:nvSpPr>
      <xdr:spPr>
        <a:xfrm>
          <a:off x="635000" y="381000"/>
          <a:ext cx="10160000" cy="635000"/>
        </a:xfrm>
        <a:prstGeom prst="roundRect">
          <a:avLst/>
        </a:prstGeom>
        <a:solidFill>
          <a:srgbClr val="C4CAF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2400" b="1">
              <a:solidFill>
                <a:srgbClr val="0369A1"/>
              </a:solidFill>
              <a:latin typeface="Iansui" pitchFamily="2" charset="-120"/>
            </a:rPr>
            <a:t>【 </a:t>
          </a:r>
          <a:r>
            <a:rPr lang="zh-TW" altLang="en-US" sz="2400" b="1">
              <a:solidFill>
                <a:srgbClr val="0369A1"/>
              </a:solidFill>
              <a:latin typeface="Iansui" pitchFamily="2" charset="-120"/>
            </a:rPr>
            <a:t>結算快報 </a:t>
          </a:r>
          <a:r>
            <a:rPr lang="en-US" altLang="zh-TW" sz="2400" b="1">
              <a:solidFill>
                <a:srgbClr val="0369A1"/>
              </a:solidFill>
              <a:latin typeface="Iansui" pitchFamily="2" charset="-120"/>
            </a:rPr>
            <a:t>】</a:t>
          </a:r>
          <a:endParaRPr lang="zh-TW" altLang="en-US" sz="2400" b="1">
            <a:solidFill>
              <a:srgbClr val="0369A1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4</xdr:row>
      <xdr:rowOff>0</xdr:rowOff>
    </xdr:from>
    <xdr:to>
      <xdr:col>12</xdr:col>
      <xdr:colOff>25400</xdr:colOff>
      <xdr:row>5</xdr:row>
      <xdr:rowOff>222250</xdr:rowOff>
    </xdr:to>
    <xdr:sp macro="" textlink="">
      <xdr:nvSpPr>
        <xdr:cNvPr id="3" name="矩形: 圓角 2">
          <a:extLst>
            <a:ext uri="{FF2B5EF4-FFF2-40B4-BE49-F238E27FC236}">
              <a16:creationId xmlns:a16="http://schemas.microsoft.com/office/drawing/2014/main" id="{86038124-F844-566C-7806-192265498482}"/>
            </a:ext>
          </a:extLst>
        </xdr:cNvPr>
        <xdr:cNvSpPr/>
      </xdr:nvSpPr>
      <xdr:spPr>
        <a:xfrm>
          <a:off x="635000" y="1143000"/>
          <a:ext cx="7620000" cy="508000"/>
        </a:xfrm>
        <a:prstGeom prst="roundRect">
          <a:avLst/>
        </a:prstGeom>
        <a:solidFill>
          <a:srgbClr val="FFB6C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🐬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Smile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須補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$38,453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6</xdr:row>
      <xdr:rowOff>63500</xdr:rowOff>
    </xdr:from>
    <xdr:to>
      <xdr:col>12</xdr:col>
      <xdr:colOff>25400</xdr:colOff>
      <xdr:row>8</xdr:row>
      <xdr:rowOff>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695B2F6A-BC5C-D7A7-CC2B-2688AFA227AC}"/>
            </a:ext>
          </a:extLst>
        </xdr:cNvPr>
        <xdr:cNvSpPr/>
      </xdr:nvSpPr>
      <xdr:spPr>
        <a:xfrm>
          <a:off x="635000" y="1778000"/>
          <a:ext cx="7620000" cy="508000"/>
        </a:xfrm>
        <a:prstGeom prst="roundRect">
          <a:avLst/>
        </a:prstGeom>
        <a:solidFill>
          <a:srgbClr val="90EE9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🌻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Jiani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拿回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$55,238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635000</xdr:colOff>
      <xdr:row>8</xdr:row>
      <xdr:rowOff>127000</xdr:rowOff>
    </xdr:from>
    <xdr:to>
      <xdr:col>12</xdr:col>
      <xdr:colOff>25400</xdr:colOff>
      <xdr:row>10</xdr:row>
      <xdr:rowOff>63500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664A3261-5A24-1D1E-A898-129DE3F01C82}"/>
            </a:ext>
          </a:extLst>
        </xdr:cNvPr>
        <xdr:cNvSpPr/>
      </xdr:nvSpPr>
      <xdr:spPr>
        <a:xfrm>
          <a:off x="635000" y="2413000"/>
          <a:ext cx="7620000" cy="508000"/>
        </a:xfrm>
        <a:prstGeom prst="roundRect">
          <a:avLst/>
        </a:prstGeom>
        <a:solidFill>
          <a:srgbClr val="FFB6C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0" rtlCol="0" anchor="t"/>
        <a:lstStyle/>
        <a:p>
          <a:pPr algn="l"/>
          <a:r>
            <a:rPr lang="zh-TW" altLang="en-US" sz="1800" b="1">
              <a:solidFill>
                <a:srgbClr val="323232"/>
              </a:solidFill>
              <a:latin typeface="Segoe UI Emoji" panose="020B0502040204020203" pitchFamily="34" charset="0"/>
            </a:rPr>
            <a:t>⚽ 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Nomad </a:t>
          </a:r>
          <a:r>
            <a:rPr lang="zh-TW" altLang="en-US" sz="1800" b="1">
              <a:solidFill>
                <a:srgbClr val="323232"/>
              </a:solidFill>
              <a:latin typeface="Iansui" pitchFamily="2" charset="-120"/>
            </a:rPr>
            <a:t>須補</a:t>
          </a:r>
          <a:r>
            <a:rPr lang="en-US" altLang="zh-TW" sz="1800" b="1">
              <a:solidFill>
                <a:srgbClr val="323232"/>
              </a:solidFill>
              <a:latin typeface="Iansui" pitchFamily="2" charset="-120"/>
            </a:rPr>
            <a:t>: $17,434</a:t>
          </a:r>
          <a:endParaRPr lang="zh-TW" altLang="en-US" sz="1800" b="1">
            <a:solidFill>
              <a:srgbClr val="323232"/>
            </a:solidFill>
            <a:latin typeface="Iansui" pitchFamily="2" charset="-12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584200</xdr:colOff>
      <xdr:row>1</xdr:row>
      <xdr:rowOff>85725</xdr:rowOff>
    </xdr:to>
    <xdr:sp macro="GoToHome" textlink="">
      <xdr:nvSpPr>
        <xdr:cNvPr id="6" name="矩形: 圓角 5">
          <a:extLst>
            <a:ext uri="{FF2B5EF4-FFF2-40B4-BE49-F238E27FC236}">
              <a16:creationId xmlns:a16="http://schemas.microsoft.com/office/drawing/2014/main" id="{85BE1FE6-8866-F7B5-4617-995639657EC8}"/>
            </a:ext>
          </a:extLst>
        </xdr:cNvPr>
        <xdr:cNvSpPr/>
      </xdr:nvSpPr>
      <xdr:spPr>
        <a:xfrm>
          <a:off x="0" y="0"/>
          <a:ext cx="1270000" cy="381000"/>
        </a:xfrm>
        <a:prstGeom prst="roundRect">
          <a:avLst/>
        </a:prstGeom>
        <a:solidFill>
          <a:srgbClr val="DCDCD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200" b="1">
              <a:solidFill>
                <a:srgbClr val="323232"/>
              </a:solidFill>
              <a:latin typeface="Segoe UI Emoji" panose="020B0502040204020203" pitchFamily="34" charset="0"/>
            </a:rPr>
            <a:t>🏠</a:t>
          </a:r>
          <a:r>
            <a:rPr lang="zh-TW" altLang="en-US" sz="1200" b="1">
              <a:solidFill>
                <a:srgbClr val="323232"/>
              </a:solidFill>
              <a:latin typeface="Iansui" pitchFamily="2" charset="-120"/>
            </a:rPr>
            <a:t> 回首頁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2D4DBC64-98FF-4ACA-A8C4-4C67D43C5E20}" name="表格133" displayName="表格133" ref="A3:M12" totalsRowShown="0" headerRowDxfId="108" dataDxfId="109">
  <autoFilter ref="A3:M12" xr:uid="{2D4DBC64-98FF-4ACA-A8C4-4C67D43C5E20}"/>
  <tableColumns count="13">
    <tableColumn id="1" xr3:uid="{C049256E-3260-485A-B94F-B1E7433E4018}" name="expenseId" dataDxfId="122"/>
    <tableColumn id="2" xr3:uid="{F264DB7A-7FDB-4861-A2A1-22D2382CF6C6}" name="date" dataDxfId="121"/>
    <tableColumn id="3" xr3:uid="{21EEDC67-8746-4F94-A13D-64C9D96C3038}" name="category" dataDxfId="120"/>
    <tableColumn id="4" xr3:uid="{85C3F793-2E00-4787-B8C0-FEF544AFDB69}" name="description" dataDxfId="119"/>
    <tableColumn id="5" xr3:uid="{7F033F22-7237-452B-9B35-F67208E79163}" name="amount" dataDxfId="118"/>
    <tableColumn id="6" xr3:uid="{2FC876C4-15C4-4526-B7D9-2ECA6F160391}" name="currency" dataDxfId="117"/>
    <tableColumn id="7" xr3:uid="{B7CF5A63-DE33-4763-A038-763A226B83E6}" name="appliedRate" dataDxfId="116"/>
    <tableColumn id="8" xr3:uid="{5F4694F9-5F3C-4D13-9EB6-611BCA5F0885}" name="twdEquivalent" dataDxfId="115"/>
    <tableColumn id="9" xr3:uid="{0746F31B-3DDD-477B-B43F-10F84B236A04}" name="payerUID" dataDxfId="114"/>
    <tableColumn id="10" xr3:uid="{98B5DCA2-2723-47E0-90FB-1477E707A245}" name="shares" dataDxfId="113"/>
    <tableColumn id="11" xr3:uid="{F225D6C8-E12E-4A05-8CE0-2DC20B47C0A0}" name="paymentMethod" dataDxfId="112"/>
    <tableColumn id="12" xr3:uid="{538C5726-3DB9-4669-A05D-CF570A9FDC06}" name="walletId" dataDxfId="111"/>
    <tableColumn id="13" xr3:uid="{B9D682AE-A652-433C-8784-DEF5C916F77F}" name="notes" dataDxfId="1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208E58D7-1D96-42F5-B988-8ABC87B64077}" name="表格134" displayName="表格134" ref="A3:G7" totalsRowShown="0" headerRowDxfId="99" dataDxfId="100">
  <autoFilter ref="A3:G7" xr:uid="{208E58D7-1D96-42F5-B988-8ABC87B64077}"/>
  <tableColumns count="7">
    <tableColumn id="1" xr3:uid="{44DC0CA6-0F00-4C3B-A3E8-FCE857C89559}" name="walletId" dataDxfId="107"/>
    <tableColumn id="2" xr3:uid="{DD7A21D5-0835-4610-90A5-4CB766A4E902}" name="ownerUID" dataDxfId="106"/>
    <tableColumn id="3" xr3:uid="{E66D5C61-A40C-4F61-AF3C-1DB64C3358E1}" name="currency" dataDxfId="105"/>
    <tableColumn id="4" xr3:uid="{E58281D2-8072-4EAF-A72F-8FFDED124E77}" name="originalAmount" dataDxfId="104"/>
    <tableColumn id="5" xr3:uid="{EA778026-02AE-4BFF-B683-C0502DD67675}" name="balance" dataDxfId="103"/>
    <tableColumn id="6" xr3:uid="{E19BF612-C41D-404B-AC5C-1C57360D2BC2}" name="rate" dataDxfId="102"/>
    <tableColumn id="7" xr3:uid="{62F3E623-F7EF-475E-B832-1164555AE79E}" name="createdAt" dataDxfId="10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C4BE61D2-6324-4A1B-9E83-ED7566ECF7B5}" name="表格135" displayName="表格135" ref="E4:I8" totalsRowShown="0">
  <autoFilter ref="E4:I8" xr:uid="{C4BE61D2-6324-4A1B-9E83-ED7566ECF7B5}"/>
  <tableColumns count="5">
    <tableColumn id="1" xr3:uid="{DA9E628C-DC90-4951-9776-29CBD6018283}" name="錢包ID"/>
    <tableColumn id="2" xr3:uid="{A76BC121-BAC2-4C3C-BD9C-C3AB3F113F1A}" name="擁有者" dataDxfId="98"/>
    <tableColumn id="3" xr3:uid="{B3231251-D4DE-44AB-9044-AEB8D740093B}" name="幣別"/>
    <tableColumn id="4" xr3:uid="{70A86A45-E436-4E61-AE1C-B5622EB0D884}" name="初始額度"/>
    <tableColumn id="5" xr3:uid="{6150DC0D-876A-4D3C-A978-86F4AF5D84DC}" name="匯率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7A87B15D-70B3-4395-B14C-A6676393E482}" name="表格136" displayName="表格136" ref="A3:L10" totalsRowShown="0" headerRowDxfId="92" dataDxfId="93">
  <autoFilter ref="A3:L10" xr:uid="{7A87B15D-70B3-4395-B14C-A6676393E482}"/>
  <tableColumns count="12">
    <tableColumn id="1" xr3:uid="{E04BF818-A0B0-4205-87E6-DC9F5CD25E7F}" name="日期" dataDxfId="97"/>
    <tableColumn id="2" xr3:uid="{9752B719-85BA-42D2-A700-E4BC24979A7D}" name="屬性" dataDxfId="91"/>
    <tableColumn id="3" xr3:uid="{29E8FE40-EAAE-4C53-A134-96FA2AC482AE}" name="類別" dataDxfId="90"/>
    <tableColumn id="4" xr3:uid="{C33E9E63-634C-4946-BB2C-973663516BE2}" name="描述" dataDxfId="89"/>
    <tableColumn id="5" xr3:uid="{22A49E38-AFAE-48E4-AE9A-A7F74A3FF43C}" name="支付者" dataDxfId="87"/>
    <tableColumn id="6" xr3:uid="{08277401-021C-463C-AD75-EBF61B462EAF}" name="方式" dataDxfId="88"/>
    <tableColumn id="7" xr3:uid="{1C627DE9-1BBC-491F-80C6-730B00C3F6B2}" name="原幣" dataDxfId="96"/>
    <tableColumn id="8" xr3:uid="{C596B809-272C-42DD-A131-FD16ACCF554F}" name="原幣額" dataDxfId="95"/>
    <tableColumn id="9" xr3:uid="{3A9FEF5A-3CBE-4FE3-8BFB-7F8C5D29DB9D}" name="匯率" dataDxfId="94"/>
    <tableColumn id="10" xr3:uid="{316574F2-F10F-4CC9-BE6B-0A7C33B389AA}" name="台幣總額" dataDxfId="86"/>
    <tableColumn id="11" xr3:uid="{1AEA0A2D-FF6F-44E6-8424-E9A811FDBA97}" name="分攤名單" dataDxfId="84"/>
    <tableColumn id="12" xr3:uid="{5B786E83-920B-45A5-912E-4112D3362F5F}" name="每人應攤" dataDxfId="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3C43065D-A224-47FD-9F51-81BBA112AF67}" name="Tbl_Summary_Group_Details" displayName="Tbl_Summary_Group_Details" ref="N3:P8" totalsRowCount="1">
  <autoFilter ref="N3:P7" xr:uid="{3C43065D-A224-47FD-9F51-81BBA112AF67}"/>
  <tableColumns count="3">
    <tableColumn id="1" xr3:uid="{244714BF-FEAC-43FF-8ED2-CF62DD6AC04F}" name="消費類別" totalsRowLabel="合計"/>
    <tableColumn id="2" xr3:uid="{AEE355A8-283C-4ADB-A66E-9908AEEBE63D}" name="總金額" dataDxfId="83"/>
    <tableColumn id="3" xr3:uid="{7DE6C691-D258-49F6-B1E6-CAEFA33C0680}" name="佔比 (%)" totalsRowFunction="sum" dataDxfId="8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C11452AA-9153-4410-A0BD-93AA6C9F65C4}" name="表格138" displayName="表格138" ref="A4:F7" totalsRowShown="0" headerRowDxfId="77" dataDxfId="78">
  <autoFilter ref="A4:F7" xr:uid="{C11452AA-9153-4410-A0BD-93AA6C9F65C4}"/>
  <tableColumns count="6">
    <tableColumn id="1" xr3:uid="{006EA291-2648-42EF-B465-64C9A4DF0481}" name="錢包ID" dataDxfId="81"/>
    <tableColumn id="2" xr3:uid="{76C8FBDC-F7B7-49D8-9BD6-9B73FBE847B9}" name="幣別" dataDxfId="62"/>
    <tableColumn id="3" xr3:uid="{EE79CC93-9CFD-4654-AF3E-91D1386D4779}" name="初始額度" dataDxfId="60"/>
    <tableColumn id="4" xr3:uid="{7AED9551-0E97-4DF3-9D81-472D1D13B2BF}" name="本表記錄流出" dataDxfId="61"/>
    <tableColumn id="5" xr3:uid="{59CE39A6-2A43-4841-888D-BDA0BB95A5F1}" name="結算估計剩餘" dataDxfId="80"/>
    <tableColumn id="6" xr3:uid="{81F7C21B-0849-40C7-91DF-41E33AC9E694}" name="匯率" dataDxfId="7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54624987-2D52-4E8E-96A3-8FD93050E082}" name="表格139" displayName="表格139" ref="A11:E12" totalsRowShown="0" headerRowDxfId="74" dataDxfId="75">
  <autoFilter ref="A11:E12" xr:uid="{54624987-2D52-4E8E-96A3-8FD93050E082}"/>
  <tableColumns count="5">
    <tableColumn id="1" xr3:uid="{97AB7036-1EAF-4655-B1DC-32B45C6E0AB6}" name="總代墊(A)" dataDxfId="76"/>
    <tableColumn id="2" xr3:uid="{638179F7-1E1D-40F3-B281-243DF86A1AE7}" name="應攤總負擔(B)" dataDxfId="59"/>
    <tableColumn id="3" xr3:uid="{93FF095B-7F48-43C6-9E2D-E716936B3733}" name="公帳分回(C)" dataDxfId="57"/>
    <tableColumn id="4" xr3:uid="{70B5BC1A-8D41-41E8-8BE8-6453178F79BB}" name="公款殘值退回(D)" dataDxfId="58"/>
    <tableColumn id="5" xr3:uid="{162CAB65-8E18-45B1-8A45-1079BC0965F6}" name="淨應收/補狀態" dataDxfId="7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34CA9692-45AB-49D4-8154-5A46E0995555}" name="表格140" displayName="表格140" ref="A15:K22" totalsRowShown="0" headerRowDxfId="63" dataDxfId="64">
  <autoFilter ref="A15:K22" xr:uid="{34CA9692-45AB-49D4-8154-5A46E0995555}"/>
  <tableColumns count="11">
    <tableColumn id="1" xr3:uid="{4B02644D-2E72-4983-9FA4-301FC7E17F86}" name="日期" dataDxfId="72"/>
    <tableColumn id="2" xr3:uid="{2AB6513D-23AC-487D-A23C-D1BFE71B2EEB}" name="屬性"/>
    <tableColumn id="3" xr3:uid="{197B8FB9-A489-4C7D-BF69-D76D1C95A20E}" name="類別" dataDxfId="55"/>
    <tableColumn id="4" xr3:uid="{BB7C25AE-E6FB-402C-AD66-162D4B06EEA1}" name="描述" dataDxfId="56"/>
    <tableColumn id="5" xr3:uid="{1CDF00EC-D3A0-46BE-B79A-3C5D5A5B83DC}" name="方式" dataDxfId="71"/>
    <tableColumn id="6" xr3:uid="{C81C3974-0B06-411D-9B51-2001ADF24EB4}" name="原幣" dataDxfId="70"/>
    <tableColumn id="7" xr3:uid="{14EC47CE-671B-4F66-88FC-A0E5BC7DE8D7}" name="原幣額" dataDxfId="69"/>
    <tableColumn id="8" xr3:uid="{50AF4970-E8AF-4026-8225-AAEA0B6AE948}" name="匯率" dataDxfId="68"/>
    <tableColumn id="9" xr3:uid="{2BE1BB38-B931-449B-BF78-67CC46B36AF6}" name="台幣總額" dataDxfId="67"/>
    <tableColumn id="10" xr3:uid="{885B01FC-F290-4C8D-84F8-641A68C038D5}" name="我的負擔" dataDxfId="66"/>
    <tableColumn id="11" xr3:uid="{280B4157-F0CB-4BAC-A685-09C73AF42A93}" name="代墊債權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947799CA-D7AC-430D-B476-324423DE385E}" name="Tbl_Summary_PS_Smile" displayName="Tbl_Summary_PS_Smile" ref="M15:O19" totalsRowCount="1">
  <autoFilter ref="M15:O18" xr:uid="{947799CA-D7AC-430D-B476-324423DE385E}"/>
  <tableColumns count="3">
    <tableColumn id="1" xr3:uid="{4EB70CF1-0549-4B2D-AD37-87B84438B2B9}" name="消費類別" totalsRowLabel="合計"/>
    <tableColumn id="2" xr3:uid="{0857152F-6F79-4B0E-AD8F-93B5B9977ED7}" name="總金額" dataDxfId="54"/>
    <tableColumn id="3" xr3:uid="{A8EF6318-FD20-4F32-816A-32D559024C09}" name="佔比 (%)" totalsRowFunction="sum" dataDxfId="53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2EC2D519-7227-4142-AEF8-3E0BB70FBF99}" name="表格142" displayName="表格142" ref="A8:E9" totalsRowShown="0" headerRowDxfId="50" dataDxfId="51">
  <autoFilter ref="A8:E9" xr:uid="{2EC2D519-7227-4142-AEF8-3E0BB70FBF99}"/>
  <tableColumns count="5">
    <tableColumn id="1" xr3:uid="{B59F940F-CBAE-4193-8056-20BC08857C90}" name="總代墊(A)" dataDxfId="52"/>
    <tableColumn id="2" xr3:uid="{156453B2-57E0-478A-8AAD-B1B7FDB4E818}" name="應攤總負擔(B)" dataDxfId="38"/>
    <tableColumn id="3" xr3:uid="{3BBB1B41-B421-4223-A28A-0B1A2CAA0844}" name="公帳分回(C)" dataDxfId="36"/>
    <tableColumn id="4" xr3:uid="{139B95E8-7F01-4763-8398-B3056449BBF4}" name="公款殘值退回(D)" dataDxfId="37"/>
    <tableColumn id="5" xr3:uid="{D1586D82-CE2B-4D77-969F-FF5D9EF052B8}" name="淨應收/補狀態" dataDxfId="4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9DF4101-8E7C-477D-A4BF-B43D00B2746E}" name="表格143" displayName="表格143" ref="A12:K17" totalsRowShown="0" headerRowDxfId="39" dataDxfId="40">
  <autoFilter ref="A12:K17" xr:uid="{09DF4101-8E7C-477D-A4BF-B43D00B2746E}"/>
  <tableColumns count="11">
    <tableColumn id="1" xr3:uid="{7E8402C6-F8D4-47D0-AFED-3CD0C51A29E8}" name="日期" dataDxfId="48"/>
    <tableColumn id="2" xr3:uid="{B050460B-3E42-4718-B71F-F2C9E8D2FB9E}" name="屬性" dataDxfId="35"/>
    <tableColumn id="3" xr3:uid="{88264E29-B887-4D80-98D2-7F360CDE1F9B}" name="類別" dataDxfId="33"/>
    <tableColumn id="4" xr3:uid="{2BC3AF7A-1F7E-4F84-BB84-6C5D3BC2FEBE}" name="描述" dataDxfId="34"/>
    <tableColumn id="5" xr3:uid="{0C15A2BE-B531-4164-A38E-A2E667D54BB2}" name="方式" dataDxfId="47"/>
    <tableColumn id="6" xr3:uid="{608E9003-24B7-44A1-8308-0C5D52969B2E}" name="原幣" dataDxfId="46"/>
    <tableColumn id="7" xr3:uid="{D128B5D8-383C-47F5-A716-7478A3DE2736}" name="原幣額" dataDxfId="45"/>
    <tableColumn id="8" xr3:uid="{3A0BACC8-25BD-458D-B00A-9351B4D2BE65}" name="匯率" dataDxfId="44"/>
    <tableColumn id="9" xr3:uid="{1DC5DF60-93A3-40C6-A2F0-CCF42D30A32F}" name="台幣總額" dataDxfId="43"/>
    <tableColumn id="10" xr3:uid="{476B5F6A-1467-4AB1-AD3B-E0EC5CA03369}" name="我的負擔" dataDxfId="42"/>
    <tableColumn id="11" xr3:uid="{B3DD571E-7AC9-4963-B653-7992A3B7796A}" name="代墊債權" dataDxfId="4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3B8DB9C4-0406-49A7-ACEB-A210DE0253CD}" name="Tbl_Summary_PS_Jiani" displayName="Tbl_Summary_PS_Jiani" ref="M12:O16" totalsRowCount="1">
  <autoFilter ref="M12:O15" xr:uid="{3B8DB9C4-0406-49A7-ACEB-A210DE0253CD}"/>
  <tableColumns count="3">
    <tableColumn id="1" xr3:uid="{DB54562D-B6EF-4CA3-BD2B-263F48B909B5}" name="消費類別" totalsRowLabel="合計"/>
    <tableColumn id="2" xr3:uid="{D990A1CE-7379-4E05-BF94-DBF0CAA56BB9}" name="總金額" dataDxfId="32"/>
    <tableColumn id="3" xr3:uid="{9ECE882F-57BC-41EF-9D66-60CB60EDA7E0}" name="佔比 (%)" totalsRowFunction="sum" dataDxfId="31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37456858-C553-42BA-A947-FD56DE9783A7}" name="表格145" displayName="表格145" ref="A8:E9" totalsRowShown="0" headerRowDxfId="28" dataDxfId="29">
  <autoFilter ref="A8:E9" xr:uid="{37456858-C553-42BA-A947-FD56DE9783A7}"/>
  <tableColumns count="5">
    <tableColumn id="1" xr3:uid="{DA83D494-274A-4FA4-9286-05D598469A4A}" name="總代墊(A)" dataDxfId="30"/>
    <tableColumn id="2" xr3:uid="{6C59B088-F35D-43F6-8802-B45935BA1984}" name="應攤總負擔(B)" dataDxfId="16"/>
    <tableColumn id="3" xr3:uid="{C32F36BD-02B6-4A13-AA0F-1AE8B8F85722}" name="公帳分回(C)" dataDxfId="14"/>
    <tableColumn id="4" xr3:uid="{186F1791-DA1E-4D8B-B88B-457B7A94E623}" name="公款殘值退回(D)" dataDxfId="15"/>
    <tableColumn id="5" xr3:uid="{CF0DEF0A-CE23-4AF6-A4F7-FBD4223D5D91}" name="淨應收/補狀態" data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4CCD4447-398E-49D9-8741-F7497FA65F02}" name="表格146" displayName="表格146" ref="A12:K14" totalsRowShown="0" headerRowDxfId="17" dataDxfId="18">
  <autoFilter ref="A12:K14" xr:uid="{4CCD4447-398E-49D9-8741-F7497FA65F02}"/>
  <tableColumns count="11">
    <tableColumn id="1" xr3:uid="{58D6C8E2-7823-427F-8459-F80454BEE465}" name="日期" dataDxfId="26"/>
    <tableColumn id="2" xr3:uid="{D41F58F9-0AB4-4414-8246-7E1DF0550682}" name="屬性" dataDxfId="13"/>
    <tableColumn id="3" xr3:uid="{DDD2636A-D7F4-40F2-9701-88B14635781A}" name="類別" dataDxfId="11"/>
    <tableColumn id="4" xr3:uid="{EE59261B-91B1-4F91-8840-0956BCD54A78}" name="描述" dataDxfId="12"/>
    <tableColumn id="5" xr3:uid="{65FB2341-7F91-4850-9214-B2217555498E}" name="方式" dataDxfId="25"/>
    <tableColumn id="6" xr3:uid="{30A650B0-05DA-43B6-88A8-3D4645CBAB63}" name="原幣" dataDxfId="24"/>
    <tableColumn id="7" xr3:uid="{91681A52-F8F8-424E-93F8-98E3E5FB50CF}" name="原幣額" dataDxfId="23"/>
    <tableColumn id="8" xr3:uid="{DA12A9B8-0DEF-40AA-BE79-5B45EF1467B3}" name="匯率" dataDxfId="22"/>
    <tableColumn id="9" xr3:uid="{EB55B131-066B-499D-B1AD-D7AEEF861144}" name="台幣總額" dataDxfId="21"/>
    <tableColumn id="10" xr3:uid="{FEA79D13-79E3-4593-8AE3-0DFF856BB9A9}" name="我的負擔" dataDxfId="20"/>
    <tableColumn id="11" xr3:uid="{A8E532B4-EFB3-4C47-A35B-05237AD98162}" name="代墊債權" dataDxfId="1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DBF54CD8-69DC-43B1-9DDD-D37C0E98DE6C}" name="Tbl_Summary_PS_Nomad" displayName="Tbl_Summary_PS_Nomad" ref="M12:O15" totalsRowCount="1">
  <autoFilter ref="M12:O14" xr:uid="{DBF54CD8-69DC-43B1-9DDD-D37C0E98DE6C}"/>
  <tableColumns count="3">
    <tableColumn id="1" xr3:uid="{CE60EF96-53C2-4DE9-A2A9-C2452D52738B}" name="消費類別" totalsRowLabel="合計"/>
    <tableColumn id="2" xr3:uid="{2F82A91C-227A-436A-8CAF-074711B4AFBE}" name="總金額" dataDxfId="10"/>
    <tableColumn id="3" xr3:uid="{7C65749D-ADF5-400B-9BE4-BBB3555479D3}" name="佔比 (%)" totalsRowFunction="sum" dataDxfId="9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E5CFC6C9-285B-495A-8325-D4394392AA04}" name="表格149" displayName="表格149" ref="B12:H15" totalsRowShown="0" headerRowDxfId="4" dataDxfId="5">
  <autoFilter ref="B12:H15" xr:uid="{E5CFC6C9-285B-495A-8325-D4394392AA04}"/>
  <tableColumns count="7">
    <tableColumn id="1" xr3:uid="{51D8138B-8E77-401B-A09D-70EF57DF8C76}" name="成員" dataDxfId="2"/>
    <tableColumn id="2" xr3:uid="{98BB37EA-7F50-4CA1-9B90-D8D89892B95E}" name="預繳/代墊(A)" dataDxfId="3"/>
    <tableColumn id="3" xr3:uid="{5AAE3527-C3A8-4052-AB69-49203445E63C}" name="應攤總額(B)" dataDxfId="8"/>
    <tableColumn id="4" xr3:uid="{669D47A7-E614-48A0-9C70-E7D43D0A7B43}" name="公帳分回(C)" dataDxfId="7"/>
    <tableColumn id="5" xr3:uid="{E3EAA3D2-9412-4780-A35B-D7E25610125F}" name="公款殘值退回(D)" dataDxfId="6"/>
    <tableColumn id="6" xr3:uid="{101CB65C-46C4-4332-9F80-60153FE6ACF2}" name="最終應收/補" dataDxfId="1"/>
    <tableColumn id="7" xr3:uid="{3B9D9D61-F335-40B8-8A79-D2CD1B7F824A}" name="狀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9.xml"/><Relationship Id="rId4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drawing" Target="../drawings/drawing11.xml"/><Relationship Id="rId4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80E1D-E449-40C0-AEDB-381046B45B92}">
  <sheetPr codeName="工作表47"/>
  <dimension ref="A1:Z100"/>
  <sheetViews>
    <sheetView tabSelected="1" workbookViewId="0">
      <selection activeCell="P15" sqref="P15"/>
    </sheetView>
  </sheetViews>
  <sheetFormatPr defaultRowHeight="17.25" x14ac:dyDescent="0.25"/>
  <cols>
    <col min="1" max="2" width="9" style="1"/>
    <col min="3" max="3" width="93.125" style="1" bestFit="1" customWidth="1"/>
    <col min="4" max="16384" width="9" style="1"/>
  </cols>
  <sheetData>
    <row r="1" spans="1:26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38.25" x14ac:dyDescent="0.25">
      <c r="A3" s="28"/>
      <c r="B3" s="28"/>
      <c r="C3" s="29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6A943-B5BD-4470-9C00-D50AD4B8F8BD}">
  <sheetPr codeName="工作表1"/>
  <dimension ref="A1:N10"/>
  <sheetViews>
    <sheetView workbookViewId="0"/>
  </sheetViews>
  <sheetFormatPr defaultRowHeight="16.5" x14ac:dyDescent="0.25"/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 t="s">
        <v>105</v>
      </c>
      <c r="B2" s="2">
        <v>46071.460416666669</v>
      </c>
      <c r="C2" t="s">
        <v>106</v>
      </c>
      <c r="D2" t="s">
        <v>101</v>
      </c>
      <c r="E2">
        <v>2000</v>
      </c>
      <c r="F2" t="s">
        <v>17</v>
      </c>
      <c r="G2">
        <v>33</v>
      </c>
      <c r="H2">
        <v>66000</v>
      </c>
      <c r="I2" t="s">
        <v>18</v>
      </c>
      <c r="J2" t="s">
        <v>19</v>
      </c>
      <c r="K2" t="s">
        <v>34</v>
      </c>
      <c r="L2" t="s">
        <v>99</v>
      </c>
      <c r="N2">
        <v>3</v>
      </c>
    </row>
    <row r="3" spans="1:14" x14ac:dyDescent="0.25">
      <c r="A3" t="s">
        <v>14</v>
      </c>
      <c r="B3" s="2">
        <v>46066.722916666666</v>
      </c>
      <c r="C3" t="s">
        <v>15</v>
      </c>
      <c r="D3" t="s">
        <v>16</v>
      </c>
      <c r="E3">
        <v>72</v>
      </c>
      <c r="F3" t="s">
        <v>17</v>
      </c>
      <c r="G3">
        <v>34.799999999999997</v>
      </c>
      <c r="H3">
        <v>2505.6</v>
      </c>
      <c r="I3" t="s">
        <v>18</v>
      </c>
      <c r="J3" t="s">
        <v>19</v>
      </c>
      <c r="K3" t="s">
        <v>20</v>
      </c>
      <c r="N3">
        <v>3</v>
      </c>
    </row>
    <row r="4" spans="1:14" x14ac:dyDescent="0.25">
      <c r="A4" t="s">
        <v>21</v>
      </c>
      <c r="B4" s="2">
        <v>46070.718055555553</v>
      </c>
      <c r="C4" t="s">
        <v>22</v>
      </c>
      <c r="D4" t="s">
        <v>23</v>
      </c>
      <c r="E4">
        <v>502</v>
      </c>
      <c r="F4" t="s">
        <v>24</v>
      </c>
      <c r="G4">
        <v>31.5</v>
      </c>
      <c r="H4">
        <v>15813</v>
      </c>
      <c r="I4" t="s">
        <v>25</v>
      </c>
      <c r="J4" t="s">
        <v>26</v>
      </c>
      <c r="K4" t="s">
        <v>20</v>
      </c>
      <c r="N4">
        <v>2</v>
      </c>
    </row>
    <row r="5" spans="1:14" x14ac:dyDescent="0.25">
      <c r="A5" t="s">
        <v>27</v>
      </c>
      <c r="B5" s="2">
        <v>46070.717361111114</v>
      </c>
      <c r="C5" t="s">
        <v>15</v>
      </c>
      <c r="D5" t="s">
        <v>28</v>
      </c>
      <c r="E5">
        <v>5001</v>
      </c>
      <c r="F5" t="s">
        <v>24</v>
      </c>
      <c r="G5">
        <v>31.5</v>
      </c>
      <c r="H5">
        <v>157531.5</v>
      </c>
      <c r="I5" t="s">
        <v>25</v>
      </c>
      <c r="J5" t="s">
        <v>26</v>
      </c>
      <c r="K5" t="s">
        <v>20</v>
      </c>
      <c r="N5">
        <v>2</v>
      </c>
    </row>
    <row r="6" spans="1:14" x14ac:dyDescent="0.25">
      <c r="A6" t="s">
        <v>29</v>
      </c>
      <c r="B6" s="2">
        <v>46063.490972222222</v>
      </c>
      <c r="C6" t="s">
        <v>30</v>
      </c>
      <c r="D6" t="s">
        <v>31</v>
      </c>
      <c r="E6">
        <v>400</v>
      </c>
      <c r="F6" t="s">
        <v>32</v>
      </c>
      <c r="G6">
        <v>0.33</v>
      </c>
      <c r="H6">
        <v>132</v>
      </c>
      <c r="I6" t="s">
        <v>33</v>
      </c>
      <c r="J6" t="s">
        <v>33</v>
      </c>
      <c r="K6" t="s">
        <v>34</v>
      </c>
      <c r="L6" t="s">
        <v>35</v>
      </c>
      <c r="N6">
        <v>1</v>
      </c>
    </row>
    <row r="7" spans="1:14" x14ac:dyDescent="0.25">
      <c r="A7" t="s">
        <v>36</v>
      </c>
      <c r="B7" s="2">
        <v>46063.490972222222</v>
      </c>
      <c r="C7" t="s">
        <v>15</v>
      </c>
      <c r="D7" t="s">
        <v>37</v>
      </c>
      <c r="E7">
        <v>500</v>
      </c>
      <c r="F7" t="s">
        <v>32</v>
      </c>
      <c r="G7">
        <v>0.33</v>
      </c>
      <c r="H7">
        <v>165</v>
      </c>
      <c r="I7" t="s">
        <v>33</v>
      </c>
      <c r="J7" t="s">
        <v>33</v>
      </c>
      <c r="K7" t="s">
        <v>34</v>
      </c>
      <c r="L7" t="s">
        <v>35</v>
      </c>
      <c r="N7">
        <v>1</v>
      </c>
    </row>
    <row r="8" spans="1:14" x14ac:dyDescent="0.25">
      <c r="A8" t="s">
        <v>38</v>
      </c>
      <c r="B8" s="2">
        <v>46063.490277777775</v>
      </c>
      <c r="C8" t="s">
        <v>15</v>
      </c>
      <c r="D8" t="s">
        <v>39</v>
      </c>
      <c r="E8">
        <v>700</v>
      </c>
      <c r="F8" t="s">
        <v>24</v>
      </c>
      <c r="G8">
        <v>40</v>
      </c>
      <c r="H8">
        <v>28000</v>
      </c>
      <c r="I8" t="s">
        <v>18</v>
      </c>
      <c r="J8" t="s">
        <v>26</v>
      </c>
      <c r="K8" t="s">
        <v>34</v>
      </c>
      <c r="L8" t="s">
        <v>40</v>
      </c>
      <c r="N8">
        <v>2</v>
      </c>
    </row>
    <row r="9" spans="1:14" x14ac:dyDescent="0.25">
      <c r="A9" t="s">
        <v>41</v>
      </c>
      <c r="B9" s="2">
        <v>46063.489583333336</v>
      </c>
      <c r="C9" t="s">
        <v>15</v>
      </c>
      <c r="D9" t="s">
        <v>42</v>
      </c>
      <c r="E9">
        <v>35</v>
      </c>
      <c r="F9" t="s">
        <v>24</v>
      </c>
      <c r="G9">
        <v>31.5</v>
      </c>
      <c r="H9">
        <v>1102.5</v>
      </c>
      <c r="I9" t="s">
        <v>18</v>
      </c>
      <c r="J9" t="s">
        <v>18</v>
      </c>
      <c r="K9" t="s">
        <v>20</v>
      </c>
      <c r="N9">
        <v>1</v>
      </c>
    </row>
    <row r="10" spans="1:14" x14ac:dyDescent="0.25">
      <c r="A10" t="s">
        <v>43</v>
      </c>
      <c r="B10" s="2">
        <v>46063.489583333336</v>
      </c>
      <c r="C10" t="s">
        <v>15</v>
      </c>
      <c r="D10" t="s">
        <v>44</v>
      </c>
      <c r="E10">
        <v>500</v>
      </c>
      <c r="F10" t="s">
        <v>24</v>
      </c>
      <c r="G10">
        <v>31.5</v>
      </c>
      <c r="H10">
        <v>15750</v>
      </c>
      <c r="I10" t="s">
        <v>18</v>
      </c>
      <c r="J10" t="s">
        <v>18</v>
      </c>
      <c r="K10" t="s">
        <v>20</v>
      </c>
      <c r="N10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27A8-9383-4447-9B30-99742E3380D8}">
  <sheetPr codeName="工作表2"/>
  <dimension ref="A1:G5"/>
  <sheetViews>
    <sheetView workbookViewId="0"/>
  </sheetViews>
  <sheetFormatPr defaultRowHeight="16.5" x14ac:dyDescent="0.25"/>
  <sheetData>
    <row r="1" spans="1:7" x14ac:dyDescent="0.25">
      <c r="A1" t="s">
        <v>11</v>
      </c>
      <c r="B1" t="s">
        <v>45</v>
      </c>
      <c r="C1" t="s">
        <v>5</v>
      </c>
      <c r="D1" t="s">
        <v>46</v>
      </c>
      <c r="E1" t="s">
        <v>47</v>
      </c>
      <c r="F1" t="s">
        <v>48</v>
      </c>
      <c r="G1" t="s">
        <v>49</v>
      </c>
    </row>
    <row r="2" spans="1:7" x14ac:dyDescent="0.25">
      <c r="A2" t="s">
        <v>40</v>
      </c>
      <c r="B2" t="s">
        <v>18</v>
      </c>
      <c r="C2" t="s">
        <v>24</v>
      </c>
      <c r="D2">
        <v>50000</v>
      </c>
      <c r="E2">
        <v>49300</v>
      </c>
      <c r="F2">
        <v>40</v>
      </c>
      <c r="G2" t="s">
        <v>50</v>
      </c>
    </row>
    <row r="3" spans="1:7" x14ac:dyDescent="0.25">
      <c r="A3" t="s">
        <v>35</v>
      </c>
      <c r="B3" t="s">
        <v>33</v>
      </c>
      <c r="C3" t="s">
        <v>32</v>
      </c>
      <c r="D3">
        <v>50000</v>
      </c>
      <c r="E3">
        <v>49100</v>
      </c>
      <c r="F3">
        <v>0.33</v>
      </c>
      <c r="G3" t="s">
        <v>51</v>
      </c>
    </row>
    <row r="4" spans="1:7" x14ac:dyDescent="0.25">
      <c r="A4" t="s">
        <v>98</v>
      </c>
      <c r="B4" t="s">
        <v>18</v>
      </c>
      <c r="C4" t="s">
        <v>32</v>
      </c>
      <c r="D4">
        <v>56000</v>
      </c>
      <c r="E4">
        <v>56000</v>
      </c>
      <c r="F4">
        <v>0.35</v>
      </c>
      <c r="G4" t="s">
        <v>107</v>
      </c>
    </row>
    <row r="5" spans="1:7" x14ac:dyDescent="0.25">
      <c r="A5" t="s">
        <v>99</v>
      </c>
      <c r="B5" t="s">
        <v>18</v>
      </c>
      <c r="C5" t="s">
        <v>17</v>
      </c>
      <c r="D5">
        <v>70000</v>
      </c>
      <c r="E5">
        <v>68000</v>
      </c>
      <c r="F5">
        <v>33</v>
      </c>
      <c r="G5" t="s">
        <v>108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3DEE9-0561-4D9A-B0B0-B1CC3BB660CC}">
  <sheetPr codeName="工作表76"/>
  <dimension ref="A3:M12"/>
  <sheetViews>
    <sheetView workbookViewId="0"/>
  </sheetViews>
  <sheetFormatPr defaultRowHeight="22.5" x14ac:dyDescent="0.25"/>
  <cols>
    <col min="1" max="1" width="16.625" style="4" customWidth="1"/>
    <col min="2" max="2" width="24.75" style="4" bestFit="1" customWidth="1"/>
    <col min="3" max="3" width="16" style="4" bestFit="1" customWidth="1"/>
    <col min="4" max="4" width="19.875" style="4" bestFit="1" customWidth="1"/>
    <col min="5" max="5" width="14" style="4" bestFit="1" customWidth="1"/>
    <col min="6" max="6" width="16" style="4" bestFit="1" customWidth="1"/>
    <col min="7" max="7" width="20.5" style="4" bestFit="1" customWidth="1"/>
    <col min="8" max="8" width="23.875" style="4" bestFit="1" customWidth="1"/>
    <col min="9" max="9" width="16.875" style="4" bestFit="1" customWidth="1"/>
    <col min="10" max="10" width="24.25" style="4" bestFit="1" customWidth="1"/>
    <col min="11" max="11" width="26.375" style="4" bestFit="1" customWidth="1"/>
    <col min="12" max="12" width="26.625" style="4" bestFit="1" customWidth="1"/>
    <col min="13" max="13" width="11.375" style="4" bestFit="1" customWidth="1"/>
    <col min="14" max="16384" width="9" style="4"/>
  </cols>
  <sheetData>
    <row r="3" spans="1:13" x14ac:dyDescent="0.25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</row>
    <row r="4" spans="1:13" x14ac:dyDescent="0.25">
      <c r="A4" s="4" t="s">
        <v>105</v>
      </c>
      <c r="B4" s="5">
        <v>46071.460416666669</v>
      </c>
      <c r="C4" s="4" t="s">
        <v>106</v>
      </c>
      <c r="D4" s="4" t="s">
        <v>101</v>
      </c>
      <c r="E4" s="4">
        <v>2000</v>
      </c>
      <c r="F4" s="4" t="s">
        <v>17</v>
      </c>
      <c r="G4" s="4">
        <v>33</v>
      </c>
      <c r="H4" s="4">
        <v>66000</v>
      </c>
      <c r="I4" s="4" t="s">
        <v>18</v>
      </c>
      <c r="J4" s="4" t="s">
        <v>19</v>
      </c>
      <c r="K4" s="4" t="s">
        <v>34</v>
      </c>
      <c r="L4" s="4" t="s">
        <v>99</v>
      </c>
    </row>
    <row r="5" spans="1:13" x14ac:dyDescent="0.25">
      <c r="A5" s="4" t="s">
        <v>14</v>
      </c>
      <c r="B5" s="5">
        <v>46066.722916666666</v>
      </c>
      <c r="C5" s="4" t="s">
        <v>15</v>
      </c>
      <c r="D5" s="4" t="s">
        <v>16</v>
      </c>
      <c r="E5" s="4">
        <v>72</v>
      </c>
      <c r="F5" s="4" t="s">
        <v>17</v>
      </c>
      <c r="G5" s="4">
        <v>34.799999999999997</v>
      </c>
      <c r="H5" s="4">
        <v>2505.6</v>
      </c>
      <c r="I5" s="4" t="s">
        <v>18</v>
      </c>
      <c r="J5" s="4" t="s">
        <v>19</v>
      </c>
      <c r="K5" s="4" t="s">
        <v>20</v>
      </c>
    </row>
    <row r="6" spans="1:13" x14ac:dyDescent="0.25">
      <c r="A6" s="4" t="s">
        <v>21</v>
      </c>
      <c r="B6" s="5">
        <v>46070.718055555553</v>
      </c>
      <c r="C6" s="4" t="s">
        <v>22</v>
      </c>
      <c r="D6" s="4" t="s">
        <v>23</v>
      </c>
      <c r="E6" s="4">
        <v>502</v>
      </c>
      <c r="F6" s="4" t="s">
        <v>24</v>
      </c>
      <c r="G6" s="4">
        <v>31.5</v>
      </c>
      <c r="H6" s="4">
        <v>15813</v>
      </c>
      <c r="I6" s="4" t="s">
        <v>25</v>
      </c>
      <c r="J6" s="4" t="s">
        <v>26</v>
      </c>
      <c r="K6" s="4" t="s">
        <v>20</v>
      </c>
    </row>
    <row r="7" spans="1:13" x14ac:dyDescent="0.25">
      <c r="A7" s="4" t="s">
        <v>27</v>
      </c>
      <c r="B7" s="5">
        <v>46070.717361111114</v>
      </c>
      <c r="C7" s="4" t="s">
        <v>15</v>
      </c>
      <c r="D7" s="4" t="s">
        <v>28</v>
      </c>
      <c r="E7" s="4">
        <v>5001</v>
      </c>
      <c r="F7" s="4" t="s">
        <v>24</v>
      </c>
      <c r="G7" s="4">
        <v>31.5</v>
      </c>
      <c r="H7" s="4">
        <v>157531.5</v>
      </c>
      <c r="I7" s="4" t="s">
        <v>25</v>
      </c>
      <c r="J7" s="4" t="s">
        <v>26</v>
      </c>
      <c r="K7" s="4" t="s">
        <v>20</v>
      </c>
    </row>
    <row r="8" spans="1:13" x14ac:dyDescent="0.25">
      <c r="A8" s="4" t="s">
        <v>29</v>
      </c>
      <c r="B8" s="5">
        <v>46063.490972222222</v>
      </c>
      <c r="C8" s="4" t="s">
        <v>30</v>
      </c>
      <c r="D8" s="4" t="s">
        <v>31</v>
      </c>
      <c r="E8" s="4">
        <v>400</v>
      </c>
      <c r="F8" s="4" t="s">
        <v>32</v>
      </c>
      <c r="G8" s="4">
        <v>0.33</v>
      </c>
      <c r="H8" s="4">
        <v>132</v>
      </c>
      <c r="I8" s="4" t="s">
        <v>33</v>
      </c>
      <c r="J8" s="4" t="s">
        <v>33</v>
      </c>
      <c r="K8" s="4" t="s">
        <v>34</v>
      </c>
      <c r="L8" s="4" t="s">
        <v>35</v>
      </c>
    </row>
    <row r="9" spans="1:13" x14ac:dyDescent="0.25">
      <c r="A9" s="4" t="s">
        <v>36</v>
      </c>
      <c r="B9" s="5">
        <v>46063.490972222222</v>
      </c>
      <c r="C9" s="4" t="s">
        <v>15</v>
      </c>
      <c r="D9" s="4" t="s">
        <v>37</v>
      </c>
      <c r="E9" s="4">
        <v>500</v>
      </c>
      <c r="F9" s="4" t="s">
        <v>32</v>
      </c>
      <c r="G9" s="4">
        <v>0.33</v>
      </c>
      <c r="H9" s="4">
        <v>165</v>
      </c>
      <c r="I9" s="4" t="s">
        <v>33</v>
      </c>
      <c r="J9" s="4" t="s">
        <v>33</v>
      </c>
      <c r="K9" s="4" t="s">
        <v>34</v>
      </c>
      <c r="L9" s="4" t="s">
        <v>35</v>
      </c>
    </row>
    <row r="10" spans="1:13" x14ac:dyDescent="0.25">
      <c r="A10" s="4" t="s">
        <v>38</v>
      </c>
      <c r="B10" s="5">
        <v>46063.490277777775</v>
      </c>
      <c r="C10" s="4" t="s">
        <v>15</v>
      </c>
      <c r="D10" s="4" t="s">
        <v>39</v>
      </c>
      <c r="E10" s="4">
        <v>700</v>
      </c>
      <c r="F10" s="4" t="s">
        <v>24</v>
      </c>
      <c r="G10" s="4">
        <v>40</v>
      </c>
      <c r="H10" s="4">
        <v>28000</v>
      </c>
      <c r="I10" s="4" t="s">
        <v>18</v>
      </c>
      <c r="J10" s="4" t="s">
        <v>26</v>
      </c>
      <c r="K10" s="4" t="s">
        <v>34</v>
      </c>
      <c r="L10" s="4" t="s">
        <v>40</v>
      </c>
    </row>
    <row r="11" spans="1:13" x14ac:dyDescent="0.25">
      <c r="A11" s="4" t="s">
        <v>41</v>
      </c>
      <c r="B11" s="5">
        <v>46063.489583333336</v>
      </c>
      <c r="C11" s="4" t="s">
        <v>15</v>
      </c>
      <c r="D11" s="4" t="s">
        <v>42</v>
      </c>
      <c r="E11" s="4">
        <v>35</v>
      </c>
      <c r="F11" s="4" t="s">
        <v>24</v>
      </c>
      <c r="G11" s="4">
        <v>31.5</v>
      </c>
      <c r="H11" s="4">
        <v>1102.5</v>
      </c>
      <c r="I11" s="4" t="s">
        <v>18</v>
      </c>
      <c r="J11" s="4" t="s">
        <v>18</v>
      </c>
      <c r="K11" s="4" t="s">
        <v>20</v>
      </c>
    </row>
    <row r="12" spans="1:13" x14ac:dyDescent="0.25">
      <c r="A12" s="4" t="s">
        <v>43</v>
      </c>
      <c r="B12" s="5">
        <v>46063.489583333336</v>
      </c>
      <c r="C12" s="4" t="s">
        <v>15</v>
      </c>
      <c r="D12" s="4" t="s">
        <v>44</v>
      </c>
      <c r="E12" s="4">
        <v>500</v>
      </c>
      <c r="F12" s="4" t="s">
        <v>24</v>
      </c>
      <c r="G12" s="4">
        <v>31.5</v>
      </c>
      <c r="H12" s="4">
        <v>15750</v>
      </c>
      <c r="I12" s="4" t="s">
        <v>18</v>
      </c>
      <c r="J12" s="4" t="s">
        <v>18</v>
      </c>
      <c r="K12" s="4" t="s">
        <v>20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A5386-7F27-4286-9794-EA9E6B44074D}">
  <sheetPr codeName="工作表77"/>
  <dimension ref="A3:G7"/>
  <sheetViews>
    <sheetView workbookViewId="0"/>
  </sheetViews>
  <sheetFormatPr defaultRowHeight="22.5" x14ac:dyDescent="0.25"/>
  <cols>
    <col min="1" max="1" width="16.625" style="4" customWidth="1"/>
    <col min="2" max="2" width="17.625" style="4" bestFit="1" customWidth="1"/>
    <col min="3" max="3" width="16" style="4" bestFit="1" customWidth="1"/>
    <col min="4" max="4" width="25.75" style="4" bestFit="1" customWidth="1"/>
    <col min="5" max="5" width="14.625" style="4" bestFit="1" customWidth="1"/>
    <col min="6" max="6" width="9.5" style="4" bestFit="1" customWidth="1"/>
    <col min="7" max="7" width="40" style="4" bestFit="1" customWidth="1"/>
    <col min="8" max="16384" width="9" style="4"/>
  </cols>
  <sheetData>
    <row r="3" spans="1:7" x14ac:dyDescent="0.25">
      <c r="A3" s="4" t="s">
        <v>11</v>
      </c>
      <c r="B3" s="4" t="s">
        <v>45</v>
      </c>
      <c r="C3" s="4" t="s">
        <v>5</v>
      </c>
      <c r="D3" s="4" t="s">
        <v>46</v>
      </c>
      <c r="E3" s="4" t="s">
        <v>47</v>
      </c>
      <c r="F3" s="4" t="s">
        <v>48</v>
      </c>
      <c r="G3" s="4" t="s">
        <v>49</v>
      </c>
    </row>
    <row r="4" spans="1:7" x14ac:dyDescent="0.25">
      <c r="A4" s="4" t="s">
        <v>40</v>
      </c>
      <c r="B4" s="4" t="s">
        <v>18</v>
      </c>
      <c r="C4" s="4" t="s">
        <v>24</v>
      </c>
      <c r="D4" s="4">
        <v>50000</v>
      </c>
      <c r="E4" s="4">
        <v>49300</v>
      </c>
      <c r="F4" s="4">
        <v>40</v>
      </c>
      <c r="G4" s="4" t="s">
        <v>50</v>
      </c>
    </row>
    <row r="5" spans="1:7" x14ac:dyDescent="0.25">
      <c r="A5" s="4" t="s">
        <v>35</v>
      </c>
      <c r="B5" s="4" t="s">
        <v>33</v>
      </c>
      <c r="C5" s="4" t="s">
        <v>32</v>
      </c>
      <c r="D5" s="4">
        <v>50000</v>
      </c>
      <c r="E5" s="4">
        <v>49100</v>
      </c>
      <c r="F5" s="4">
        <v>0.33</v>
      </c>
      <c r="G5" s="4" t="s">
        <v>51</v>
      </c>
    </row>
    <row r="6" spans="1:7" x14ac:dyDescent="0.25">
      <c r="A6" s="4" t="s">
        <v>98</v>
      </c>
      <c r="B6" s="4" t="s">
        <v>18</v>
      </c>
      <c r="C6" s="4" t="s">
        <v>32</v>
      </c>
      <c r="D6" s="4">
        <v>56000</v>
      </c>
      <c r="E6" s="4">
        <v>56000</v>
      </c>
      <c r="F6" s="4">
        <v>0.35</v>
      </c>
      <c r="G6" s="4" t="s">
        <v>107</v>
      </c>
    </row>
    <row r="7" spans="1:7" x14ac:dyDescent="0.25">
      <c r="A7" s="4" t="s">
        <v>99</v>
      </c>
      <c r="B7" s="4" t="s">
        <v>18</v>
      </c>
      <c r="C7" s="4" t="s">
        <v>17</v>
      </c>
      <c r="D7" s="4">
        <v>70000</v>
      </c>
      <c r="E7" s="4">
        <v>68000</v>
      </c>
      <c r="F7" s="4">
        <v>33</v>
      </c>
      <c r="G7" s="4" t="s">
        <v>108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24EA-EB17-423A-8FB6-3F60CE21B916}">
  <sheetPr codeName="工作表78"/>
  <dimension ref="B3:I8"/>
  <sheetViews>
    <sheetView workbookViewId="0"/>
  </sheetViews>
  <sheetFormatPr defaultRowHeight="22.5" x14ac:dyDescent="0.25"/>
  <cols>
    <col min="1" max="1" width="16.625" style="4" customWidth="1"/>
    <col min="2" max="2" width="28" style="4" bestFit="1" customWidth="1"/>
    <col min="3" max="3" width="15.25" style="4" bestFit="1" customWidth="1"/>
    <col min="4" max="4" width="9" style="4"/>
    <col min="5" max="5" width="16.5" bestFit="1" customWidth="1"/>
    <col min="6" max="6" width="11.25" style="22" bestFit="1" customWidth="1"/>
    <col min="7" max="7" width="8" bestFit="1" customWidth="1"/>
    <col min="8" max="8" width="12.25" bestFit="1" customWidth="1"/>
    <col min="9" max="9" width="8" bestFit="1" customWidth="1"/>
    <col min="10" max="16384" width="9" style="4"/>
  </cols>
  <sheetData>
    <row r="3" spans="2:9" x14ac:dyDescent="0.25">
      <c r="B3" s="6" t="s">
        <v>69</v>
      </c>
      <c r="C3" s="6"/>
      <c r="E3" s="3" t="s">
        <v>88</v>
      </c>
      <c r="F3" s="21"/>
      <c r="G3" s="3"/>
      <c r="H3" s="3"/>
      <c r="I3" s="3"/>
    </row>
    <row r="4" spans="2:9" ht="23.25" x14ac:dyDescent="0.25">
      <c r="B4" s="4" t="s">
        <v>18</v>
      </c>
      <c r="C4" s="20" t="s">
        <v>70</v>
      </c>
      <c r="E4" t="s">
        <v>89</v>
      </c>
      <c r="F4" s="22" t="s">
        <v>109</v>
      </c>
      <c r="G4" t="s">
        <v>61</v>
      </c>
      <c r="H4" t="s">
        <v>90</v>
      </c>
      <c r="I4" t="s">
        <v>57</v>
      </c>
    </row>
    <row r="5" spans="2:9" ht="23.25" x14ac:dyDescent="0.25">
      <c r="B5" s="4" t="s">
        <v>25</v>
      </c>
      <c r="C5" s="20" t="s">
        <v>71</v>
      </c>
      <c r="E5" t="s">
        <v>40</v>
      </c>
      <c r="F5" s="22" t="s">
        <v>70</v>
      </c>
      <c r="G5" t="s">
        <v>24</v>
      </c>
      <c r="H5">
        <v>50000</v>
      </c>
      <c r="I5">
        <v>40</v>
      </c>
    </row>
    <row r="6" spans="2:9" ht="23.25" x14ac:dyDescent="0.25">
      <c r="B6" s="4" t="s">
        <v>52</v>
      </c>
      <c r="C6" s="20" t="s">
        <v>72</v>
      </c>
      <c r="E6" t="s">
        <v>35</v>
      </c>
      <c r="F6" s="22" t="s">
        <v>73</v>
      </c>
      <c r="G6" t="s">
        <v>32</v>
      </c>
      <c r="H6">
        <v>50000</v>
      </c>
      <c r="I6">
        <v>0.33</v>
      </c>
    </row>
    <row r="7" spans="2:9" ht="23.25" x14ac:dyDescent="0.25">
      <c r="B7" s="4" t="s">
        <v>33</v>
      </c>
      <c r="C7" s="20" t="s">
        <v>73</v>
      </c>
      <c r="E7" t="s">
        <v>98</v>
      </c>
      <c r="F7" s="22" t="s">
        <v>70</v>
      </c>
      <c r="G7" t="s">
        <v>32</v>
      </c>
      <c r="H7">
        <v>56000</v>
      </c>
      <c r="I7">
        <v>0.35</v>
      </c>
    </row>
    <row r="8" spans="2:9" x14ac:dyDescent="0.25">
      <c r="E8" t="s">
        <v>99</v>
      </c>
      <c r="F8" s="22" t="s">
        <v>70</v>
      </c>
      <c r="G8" t="s">
        <v>17</v>
      </c>
      <c r="H8">
        <v>70000</v>
      </c>
      <c r="I8">
        <v>33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60C7F-8195-426D-B049-00C4F60DD5CF}">
  <sheetPr codeName="工作表79"/>
  <dimension ref="A3:P14"/>
  <sheetViews>
    <sheetView topLeftCell="J1" workbookViewId="0"/>
  </sheetViews>
  <sheetFormatPr defaultRowHeight="23.25" x14ac:dyDescent="0.25"/>
  <cols>
    <col min="1" max="1" width="16.625" style="4" customWidth="1"/>
    <col min="2" max="2" width="12.75" style="4" bestFit="1" customWidth="1"/>
    <col min="3" max="3" width="12.625" style="23" bestFit="1" customWidth="1"/>
    <col min="4" max="4" width="12.75" style="4" bestFit="1" customWidth="1"/>
    <col min="5" max="5" width="14.5" style="23" bestFit="1" customWidth="1"/>
    <col min="6" max="7" width="9.5" style="4" bestFit="1" customWidth="1"/>
    <col min="8" max="8" width="12.25" style="4" bestFit="1" customWidth="1"/>
    <col min="9" max="9" width="24.625" style="4" bestFit="1" customWidth="1"/>
    <col min="10" max="10" width="18.75" style="4" bestFit="1" customWidth="1"/>
    <col min="11" max="11" width="39.75" style="23" bestFit="1" customWidth="1"/>
    <col min="12" max="12" width="15.5" style="4" bestFit="1" customWidth="1"/>
    <col min="13" max="13" width="9" style="4"/>
    <col min="14" max="14" width="14.5" style="23" bestFit="1" customWidth="1"/>
    <col min="15" max="15" width="14.625" style="4" bestFit="1" customWidth="1"/>
    <col min="16" max="16" width="14.125" style="4" bestFit="1" customWidth="1"/>
    <col min="17" max="16384" width="9" style="4"/>
  </cols>
  <sheetData>
    <row r="3" spans="1:16" x14ac:dyDescent="0.25">
      <c r="A3" s="4" t="s">
        <v>53</v>
      </c>
      <c r="B3" s="4" t="s">
        <v>62</v>
      </c>
      <c r="C3" s="23" t="s">
        <v>110</v>
      </c>
      <c r="D3" s="4" t="s">
        <v>54</v>
      </c>
      <c r="E3" s="23" t="s">
        <v>111</v>
      </c>
      <c r="F3" s="4" t="s">
        <v>55</v>
      </c>
      <c r="G3" s="4" t="s">
        <v>56</v>
      </c>
      <c r="H3" s="4" t="s">
        <v>91</v>
      </c>
      <c r="I3" s="4" t="s">
        <v>57</v>
      </c>
      <c r="J3" s="4" t="s">
        <v>58</v>
      </c>
      <c r="K3" s="23" t="s">
        <v>112</v>
      </c>
      <c r="L3" s="4" t="s">
        <v>59</v>
      </c>
      <c r="N3" s="23" t="s">
        <v>113</v>
      </c>
      <c r="O3" s="4" t="s">
        <v>84</v>
      </c>
      <c r="P3" s="4" t="s">
        <v>85</v>
      </c>
    </row>
    <row r="4" spans="1:16" x14ac:dyDescent="0.25">
      <c r="A4" s="8">
        <v>46071</v>
      </c>
      <c r="B4" s="4" t="s">
        <v>65</v>
      </c>
      <c r="C4" s="24" t="s">
        <v>100</v>
      </c>
      <c r="D4" s="4" t="s">
        <v>101</v>
      </c>
      <c r="E4" s="23" t="s">
        <v>70</v>
      </c>
      <c r="F4" s="4" t="s">
        <v>34</v>
      </c>
      <c r="G4" s="4" t="s">
        <v>17</v>
      </c>
      <c r="H4" s="4">
        <v>2000</v>
      </c>
      <c r="I4" s="4">
        <v>33</v>
      </c>
      <c r="J4" s="4">
        <v>66000</v>
      </c>
      <c r="K4" s="23" t="s">
        <v>75</v>
      </c>
      <c r="L4" s="4">
        <v>22000</v>
      </c>
      <c r="N4" s="24" t="s">
        <v>100</v>
      </c>
      <c r="O4" s="10">
        <v>66000</v>
      </c>
      <c r="P4" s="14">
        <v>0.2443113400069814</v>
      </c>
    </row>
    <row r="5" spans="1:16" x14ac:dyDescent="0.25">
      <c r="A5" s="8">
        <v>46066</v>
      </c>
      <c r="B5" s="4" t="s">
        <v>65</v>
      </c>
      <c r="C5" s="25" t="s">
        <v>74</v>
      </c>
      <c r="D5" s="4" t="s">
        <v>16</v>
      </c>
      <c r="E5" s="23" t="s">
        <v>70</v>
      </c>
      <c r="F5" s="4" t="s">
        <v>20</v>
      </c>
      <c r="G5" s="4" t="s">
        <v>17</v>
      </c>
      <c r="H5" s="4">
        <v>72</v>
      </c>
      <c r="I5" s="4">
        <v>34.799999999999997</v>
      </c>
      <c r="J5" s="4">
        <v>2505.6</v>
      </c>
      <c r="K5" s="23" t="s">
        <v>75</v>
      </c>
      <c r="L5" s="4">
        <v>835.19999999999993</v>
      </c>
      <c r="N5" s="25" t="s">
        <v>74</v>
      </c>
      <c r="O5" s="11">
        <v>188202.1</v>
      </c>
      <c r="P5" s="15">
        <v>0.69666526125951389</v>
      </c>
    </row>
    <row r="6" spans="1:16" x14ac:dyDescent="0.25">
      <c r="A6" s="8">
        <v>46070</v>
      </c>
      <c r="B6" s="4" t="s">
        <v>65</v>
      </c>
      <c r="C6" s="26" t="s">
        <v>76</v>
      </c>
      <c r="D6" s="4" t="s">
        <v>23</v>
      </c>
      <c r="E6" s="23" t="s">
        <v>71</v>
      </c>
      <c r="F6" s="4" t="s">
        <v>20</v>
      </c>
      <c r="G6" s="4" t="s">
        <v>24</v>
      </c>
      <c r="H6" s="4">
        <v>502</v>
      </c>
      <c r="I6" s="4">
        <v>31.5</v>
      </c>
      <c r="J6" s="4">
        <v>15813</v>
      </c>
      <c r="K6" s="23" t="s">
        <v>77</v>
      </c>
      <c r="L6" s="4">
        <v>7906.5</v>
      </c>
      <c r="N6" s="26" t="s">
        <v>76</v>
      </c>
      <c r="O6" s="12">
        <v>15813</v>
      </c>
      <c r="P6" s="16">
        <v>5.8534776053490861E-2</v>
      </c>
    </row>
    <row r="7" spans="1:16" x14ac:dyDescent="0.25">
      <c r="A7" s="8">
        <v>46070</v>
      </c>
      <c r="B7" s="4" t="s">
        <v>65</v>
      </c>
      <c r="C7" s="25" t="s">
        <v>74</v>
      </c>
      <c r="D7" s="4" t="s">
        <v>28</v>
      </c>
      <c r="E7" s="23" t="s">
        <v>71</v>
      </c>
      <c r="F7" s="4" t="s">
        <v>20</v>
      </c>
      <c r="G7" s="4" t="s">
        <v>24</v>
      </c>
      <c r="H7" s="4">
        <v>5001</v>
      </c>
      <c r="I7" s="4">
        <v>31.5</v>
      </c>
      <c r="J7" s="4">
        <v>157531.5</v>
      </c>
      <c r="K7" s="23" t="s">
        <v>77</v>
      </c>
      <c r="L7" s="4">
        <v>78765.75</v>
      </c>
      <c r="N7" s="27" t="s">
        <v>79</v>
      </c>
      <c r="O7" s="13">
        <v>132</v>
      </c>
      <c r="P7" s="17">
        <v>4.8862268001396275E-4</v>
      </c>
    </row>
    <row r="8" spans="1:16" x14ac:dyDescent="0.25">
      <c r="A8" s="8">
        <v>46063</v>
      </c>
      <c r="B8" s="4" t="s">
        <v>78</v>
      </c>
      <c r="C8" s="27" t="s">
        <v>79</v>
      </c>
      <c r="D8" s="4" t="s">
        <v>31</v>
      </c>
      <c r="E8" s="23" t="s">
        <v>73</v>
      </c>
      <c r="F8" s="4" t="s">
        <v>34</v>
      </c>
      <c r="G8" s="4" t="s">
        <v>32</v>
      </c>
      <c r="H8" s="4">
        <v>400</v>
      </c>
      <c r="I8" s="4">
        <v>0.33</v>
      </c>
      <c r="J8" s="4">
        <v>132</v>
      </c>
      <c r="K8" s="23" t="s">
        <v>73</v>
      </c>
      <c r="L8" s="4">
        <v>132</v>
      </c>
      <c r="N8" t="s">
        <v>60</v>
      </c>
      <c r="O8"/>
      <c r="P8">
        <f>SUBTOTAL(109,Tbl_Summary_Group_Details[佔比 (%)])</f>
        <v>1.0000000000000002</v>
      </c>
    </row>
    <row r="9" spans="1:16" x14ac:dyDescent="0.25">
      <c r="A9" s="8">
        <v>46063</v>
      </c>
      <c r="B9" s="4" t="s">
        <v>78</v>
      </c>
      <c r="C9" s="25" t="s">
        <v>74</v>
      </c>
      <c r="D9" s="4" t="s">
        <v>37</v>
      </c>
      <c r="E9" s="23" t="s">
        <v>73</v>
      </c>
      <c r="F9" s="4" t="s">
        <v>34</v>
      </c>
      <c r="G9" s="4" t="s">
        <v>32</v>
      </c>
      <c r="H9" s="4">
        <v>500</v>
      </c>
      <c r="I9" s="4">
        <v>0.33</v>
      </c>
      <c r="J9" s="4">
        <v>165</v>
      </c>
      <c r="K9" s="23" t="s">
        <v>73</v>
      </c>
      <c r="L9" s="4">
        <v>165</v>
      </c>
    </row>
    <row r="10" spans="1:16" x14ac:dyDescent="0.25">
      <c r="A10" s="8">
        <v>46063</v>
      </c>
      <c r="B10" s="4" t="s">
        <v>65</v>
      </c>
      <c r="C10" s="25" t="s">
        <v>74</v>
      </c>
      <c r="D10" s="4" t="s">
        <v>39</v>
      </c>
      <c r="E10" s="23" t="s">
        <v>70</v>
      </c>
      <c r="F10" s="4" t="s">
        <v>34</v>
      </c>
      <c r="G10" s="4" t="s">
        <v>24</v>
      </c>
      <c r="H10" s="4">
        <v>700</v>
      </c>
      <c r="I10" s="4">
        <v>40</v>
      </c>
      <c r="J10" s="4">
        <v>28000</v>
      </c>
      <c r="K10" s="23" t="s">
        <v>77</v>
      </c>
      <c r="L10" s="4">
        <v>14000</v>
      </c>
    </row>
    <row r="12" spans="1:16" ht="31.5" x14ac:dyDescent="0.25">
      <c r="I12" s="9" t="s">
        <v>80</v>
      </c>
      <c r="J12" s="9">
        <v>900</v>
      </c>
    </row>
    <row r="13" spans="1:16" ht="31.5" x14ac:dyDescent="0.25">
      <c r="I13" s="9" t="s">
        <v>81</v>
      </c>
      <c r="J13" s="9">
        <v>6203</v>
      </c>
    </row>
    <row r="14" spans="1:16" ht="31.5" x14ac:dyDescent="0.25">
      <c r="I14" s="9" t="s">
        <v>82</v>
      </c>
      <c r="J14" s="9">
        <v>68505.600000000006</v>
      </c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16A54-57F8-418E-95FE-3F6B3574C8B4}">
  <sheetPr codeName="工作表80"/>
  <dimension ref="A3:O22"/>
  <sheetViews>
    <sheetView topLeftCell="J11" workbookViewId="0"/>
  </sheetViews>
  <sheetFormatPr defaultRowHeight="23.25" x14ac:dyDescent="0.25"/>
  <cols>
    <col min="1" max="1" width="16.625" style="4" customWidth="1"/>
    <col min="2" max="2" width="23.375" style="4" bestFit="1" customWidth="1"/>
    <col min="3" max="3" width="17.875" style="23" bestFit="1" customWidth="1"/>
    <col min="4" max="4" width="25.75" style="4" bestFit="1" customWidth="1"/>
    <col min="5" max="5" width="25.125" style="4" bestFit="1" customWidth="1"/>
    <col min="6" max="6" width="9.5" style="4" bestFit="1" customWidth="1"/>
    <col min="7" max="7" width="12.25" style="4" bestFit="1" customWidth="1"/>
    <col min="8" max="8" width="9.5" style="4" bestFit="1" customWidth="1"/>
    <col min="9" max="10" width="15.5" style="4" bestFit="1" customWidth="1"/>
    <col min="11" max="11" width="15.25" style="4" bestFit="1" customWidth="1"/>
    <col min="12" max="12" width="9" style="4"/>
    <col min="13" max="13" width="14.5" style="23" bestFit="1" customWidth="1"/>
    <col min="14" max="14" width="14.625" style="4" bestFit="1" customWidth="1"/>
    <col min="15" max="15" width="14.125" style="4" bestFit="1" customWidth="1"/>
    <col min="16" max="16384" width="9" style="4"/>
  </cols>
  <sheetData>
    <row r="3" spans="1:15" ht="31.5" x14ac:dyDescent="0.25">
      <c r="A3" s="18" t="s">
        <v>102</v>
      </c>
    </row>
    <row r="4" spans="1:15" x14ac:dyDescent="0.25">
      <c r="A4" s="4" t="s">
        <v>89</v>
      </c>
      <c r="B4" s="4" t="s">
        <v>61</v>
      </c>
      <c r="C4" s="23" t="s">
        <v>115</v>
      </c>
      <c r="D4" s="4" t="s">
        <v>92</v>
      </c>
      <c r="E4" s="4" t="s">
        <v>93</v>
      </c>
      <c r="F4" s="4" t="s">
        <v>57</v>
      </c>
    </row>
    <row r="5" spans="1:15" x14ac:dyDescent="0.25">
      <c r="A5" s="4" t="s">
        <v>40</v>
      </c>
      <c r="B5" s="4" t="s">
        <v>24</v>
      </c>
      <c r="C5" s="23">
        <v>50000</v>
      </c>
      <c r="D5" s="4">
        <v>700</v>
      </c>
      <c r="E5" s="4">
        <v>49300</v>
      </c>
      <c r="F5" s="4">
        <v>40</v>
      </c>
    </row>
    <row r="6" spans="1:15" x14ac:dyDescent="0.25">
      <c r="A6" s="4" t="s">
        <v>98</v>
      </c>
      <c r="B6" s="4" t="s">
        <v>32</v>
      </c>
      <c r="C6" s="23">
        <v>56000</v>
      </c>
      <c r="D6" s="4">
        <v>0</v>
      </c>
      <c r="E6" s="4">
        <v>56000</v>
      </c>
      <c r="F6" s="4">
        <v>0.35</v>
      </c>
    </row>
    <row r="7" spans="1:15" x14ac:dyDescent="0.25">
      <c r="A7" s="4" t="s">
        <v>99</v>
      </c>
      <c r="B7" s="4" t="s">
        <v>17</v>
      </c>
      <c r="C7" s="23">
        <v>70000</v>
      </c>
      <c r="D7" s="4">
        <v>2000</v>
      </c>
      <c r="E7" s="4">
        <v>68000</v>
      </c>
      <c r="F7" s="4">
        <v>33</v>
      </c>
    </row>
    <row r="10" spans="1:15" ht="31.5" x14ac:dyDescent="0.25">
      <c r="A10" s="18" t="s">
        <v>103</v>
      </c>
    </row>
    <row r="11" spans="1:15" x14ac:dyDescent="0.25">
      <c r="A11" s="4" t="s">
        <v>94</v>
      </c>
      <c r="B11" s="4" t="s">
        <v>95</v>
      </c>
      <c r="C11" s="23" t="s">
        <v>116</v>
      </c>
      <c r="D11" s="4" t="s">
        <v>104</v>
      </c>
      <c r="E11" s="4" t="s">
        <v>96</v>
      </c>
    </row>
    <row r="12" spans="1:15" x14ac:dyDescent="0.25">
      <c r="A12" s="4">
        <v>96505.600000000006</v>
      </c>
      <c r="B12" s="4">
        <v>140359.95000000001</v>
      </c>
      <c r="C12" s="23">
        <v>0</v>
      </c>
      <c r="D12" s="4">
        <v>5401</v>
      </c>
      <c r="E12" s="25" t="s">
        <v>114</v>
      </c>
    </row>
    <row r="14" spans="1:15" ht="31.5" x14ac:dyDescent="0.25">
      <c r="A14" s="18" t="s">
        <v>97</v>
      </c>
    </row>
    <row r="15" spans="1:15" x14ac:dyDescent="0.25">
      <c r="A15" s="4" t="s">
        <v>53</v>
      </c>
      <c r="B15" s="4" t="s">
        <v>62</v>
      </c>
      <c r="C15" s="23" t="s">
        <v>110</v>
      </c>
      <c r="D15" s="4" t="s">
        <v>54</v>
      </c>
      <c r="E15" s="4" t="s">
        <v>55</v>
      </c>
      <c r="F15" s="4" t="s">
        <v>56</v>
      </c>
      <c r="G15" s="4" t="s">
        <v>91</v>
      </c>
      <c r="H15" s="4" t="s">
        <v>57</v>
      </c>
      <c r="I15" s="4" t="s">
        <v>58</v>
      </c>
      <c r="J15" s="4" t="s">
        <v>63</v>
      </c>
      <c r="K15" s="4" t="s">
        <v>64</v>
      </c>
      <c r="M15" s="23" t="s">
        <v>113</v>
      </c>
      <c r="N15" s="4" t="s">
        <v>84</v>
      </c>
      <c r="O15" s="4" t="s">
        <v>85</v>
      </c>
    </row>
    <row r="16" spans="1:15" x14ac:dyDescent="0.25">
      <c r="A16" s="8">
        <v>46071</v>
      </c>
      <c r="B16" s="19" t="s">
        <v>65</v>
      </c>
      <c r="C16" s="24" t="s">
        <v>100</v>
      </c>
      <c r="D16" s="4" t="s">
        <v>101</v>
      </c>
      <c r="E16" s="4" t="s">
        <v>34</v>
      </c>
      <c r="F16" s="4" t="s">
        <v>17</v>
      </c>
      <c r="G16" s="4">
        <v>2000</v>
      </c>
      <c r="H16" s="4">
        <v>33</v>
      </c>
      <c r="I16" s="4">
        <v>66000</v>
      </c>
      <c r="J16" s="4">
        <v>22000</v>
      </c>
      <c r="K16" s="4">
        <v>44000</v>
      </c>
      <c r="M16" s="24" t="s">
        <v>100</v>
      </c>
      <c r="N16" s="10">
        <v>22000</v>
      </c>
      <c r="O16" s="14">
        <v>0.1567398677471743</v>
      </c>
    </row>
    <row r="17" spans="1:15" x14ac:dyDescent="0.25">
      <c r="A17" s="8">
        <v>46066</v>
      </c>
      <c r="B17" s="19" t="s">
        <v>65</v>
      </c>
      <c r="C17" s="25" t="s">
        <v>74</v>
      </c>
      <c r="D17" s="4" t="s">
        <v>16</v>
      </c>
      <c r="E17" s="4" t="s">
        <v>20</v>
      </c>
      <c r="F17" s="4" t="s">
        <v>17</v>
      </c>
      <c r="G17" s="4">
        <v>72</v>
      </c>
      <c r="H17" s="4">
        <v>34.799999999999997</v>
      </c>
      <c r="I17" s="4">
        <v>2505.6</v>
      </c>
      <c r="J17" s="4">
        <v>835.19999999999993</v>
      </c>
      <c r="K17" s="4">
        <v>1670.4</v>
      </c>
      <c r="M17" s="25" t="s">
        <v>74</v>
      </c>
      <c r="N17" s="11">
        <v>110453.45</v>
      </c>
      <c r="O17" s="15">
        <v>0.78692996114632408</v>
      </c>
    </row>
    <row r="18" spans="1:15" x14ac:dyDescent="0.25">
      <c r="A18" s="8">
        <v>46070</v>
      </c>
      <c r="B18" s="4" t="s">
        <v>83</v>
      </c>
      <c r="C18" s="26" t="s">
        <v>76</v>
      </c>
      <c r="D18" s="4" t="s">
        <v>23</v>
      </c>
      <c r="E18" s="4" t="s">
        <v>20</v>
      </c>
      <c r="F18" s="4" t="s">
        <v>24</v>
      </c>
      <c r="G18" s="4">
        <v>502</v>
      </c>
      <c r="H18" s="4">
        <v>31.5</v>
      </c>
      <c r="I18" s="4">
        <v>15813</v>
      </c>
      <c r="J18" s="4">
        <v>7906.5</v>
      </c>
      <c r="K18" s="4">
        <v>0</v>
      </c>
      <c r="M18" s="26" t="s">
        <v>76</v>
      </c>
      <c r="N18" s="12">
        <v>7906.5</v>
      </c>
      <c r="O18" s="16">
        <v>5.6330171106501528E-2</v>
      </c>
    </row>
    <row r="19" spans="1:15" x14ac:dyDescent="0.25">
      <c r="A19" s="8">
        <v>46070</v>
      </c>
      <c r="B19" s="4" t="s">
        <v>83</v>
      </c>
      <c r="C19" s="25" t="s">
        <v>74</v>
      </c>
      <c r="D19" s="4" t="s">
        <v>28</v>
      </c>
      <c r="E19" s="4" t="s">
        <v>20</v>
      </c>
      <c r="F19" s="4" t="s">
        <v>24</v>
      </c>
      <c r="G19" s="4">
        <v>5001</v>
      </c>
      <c r="H19" s="4">
        <v>31.5</v>
      </c>
      <c r="I19" s="4">
        <v>157531.5</v>
      </c>
      <c r="J19" s="4">
        <v>78765.75</v>
      </c>
      <c r="K19" s="4">
        <v>0</v>
      </c>
      <c r="M19" t="s">
        <v>60</v>
      </c>
      <c r="N19"/>
      <c r="O19">
        <f>SUBTOTAL(109,Tbl_Summary_PS_Smile[佔比 (%)])</f>
        <v>0.99999999999999989</v>
      </c>
    </row>
    <row r="20" spans="1:15" x14ac:dyDescent="0.25">
      <c r="A20" s="8">
        <v>46063</v>
      </c>
      <c r="B20" s="19" t="s">
        <v>65</v>
      </c>
      <c r="C20" s="25" t="s">
        <v>74</v>
      </c>
      <c r="D20" s="4" t="s">
        <v>39</v>
      </c>
      <c r="E20" s="4" t="s">
        <v>34</v>
      </c>
      <c r="F20" s="4" t="s">
        <v>24</v>
      </c>
      <c r="G20" s="4">
        <v>700</v>
      </c>
      <c r="H20" s="4">
        <v>40</v>
      </c>
      <c r="I20" s="4">
        <v>28000</v>
      </c>
      <c r="J20" s="4">
        <v>14000</v>
      </c>
      <c r="K20" s="4">
        <v>14000</v>
      </c>
    </row>
    <row r="21" spans="1:15" x14ac:dyDescent="0.25">
      <c r="A21" s="8">
        <v>46063</v>
      </c>
      <c r="B21" s="7" t="s">
        <v>66</v>
      </c>
      <c r="C21" s="25" t="s">
        <v>74</v>
      </c>
      <c r="D21" s="4" t="s">
        <v>42</v>
      </c>
      <c r="E21" s="4" t="s">
        <v>20</v>
      </c>
      <c r="F21" s="4" t="s">
        <v>24</v>
      </c>
      <c r="G21" s="4">
        <v>35</v>
      </c>
      <c r="H21" s="4">
        <v>31.5</v>
      </c>
      <c r="I21" s="4">
        <v>1102.5</v>
      </c>
      <c r="J21" s="4">
        <v>1102.5</v>
      </c>
      <c r="K21" s="4">
        <v>0</v>
      </c>
    </row>
    <row r="22" spans="1:15" x14ac:dyDescent="0.25">
      <c r="A22" s="8">
        <v>46063</v>
      </c>
      <c r="B22" s="7" t="s">
        <v>66</v>
      </c>
      <c r="C22" s="25" t="s">
        <v>74</v>
      </c>
      <c r="D22" s="4" t="s">
        <v>44</v>
      </c>
      <c r="E22" s="4" t="s">
        <v>20</v>
      </c>
      <c r="F22" s="4" t="s">
        <v>24</v>
      </c>
      <c r="G22" s="4">
        <v>500</v>
      </c>
      <c r="H22" s="4">
        <v>31.5</v>
      </c>
      <c r="I22" s="4">
        <v>15750</v>
      </c>
      <c r="J22" s="4">
        <v>15750</v>
      </c>
      <c r="K22" s="4">
        <v>0</v>
      </c>
    </row>
  </sheetData>
  <phoneticPr fontId="1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DB2A-68DC-4CCC-BF05-64BC28DC8CC8}">
  <sheetPr codeName="工作表81"/>
  <dimension ref="A3:O17"/>
  <sheetViews>
    <sheetView workbookViewId="0"/>
  </sheetViews>
  <sheetFormatPr defaultRowHeight="23.25" x14ac:dyDescent="0.25"/>
  <cols>
    <col min="1" max="1" width="16.625" style="4" customWidth="1"/>
    <col min="2" max="2" width="23.375" style="4" bestFit="1" customWidth="1"/>
    <col min="3" max="3" width="17.875" style="23" bestFit="1" customWidth="1"/>
    <col min="4" max="4" width="25.75" style="4" bestFit="1" customWidth="1"/>
    <col min="5" max="5" width="25.125" style="4" bestFit="1" customWidth="1"/>
    <col min="6" max="6" width="9.5" style="4" bestFit="1" customWidth="1"/>
    <col min="7" max="7" width="12.25" style="4" bestFit="1" customWidth="1"/>
    <col min="8" max="8" width="9.5" style="4" bestFit="1" customWidth="1"/>
    <col min="9" max="11" width="15.5" style="4" bestFit="1" customWidth="1"/>
    <col min="12" max="12" width="9" style="4"/>
    <col min="13" max="13" width="14.5" style="23" bestFit="1" customWidth="1"/>
    <col min="14" max="14" width="12.875" style="4" bestFit="1" customWidth="1"/>
    <col min="15" max="15" width="14.125" style="4" bestFit="1" customWidth="1"/>
    <col min="16" max="16384" width="9" style="4"/>
  </cols>
  <sheetData>
    <row r="3" spans="1:15" ht="31.5" x14ac:dyDescent="0.25">
      <c r="A3" s="18" t="s">
        <v>102</v>
      </c>
    </row>
    <row r="4" spans="1:15" x14ac:dyDescent="0.25">
      <c r="A4" s="4" t="s">
        <v>89</v>
      </c>
      <c r="B4" s="4" t="s">
        <v>61</v>
      </c>
      <c r="C4" s="23" t="s">
        <v>115</v>
      </c>
      <c r="D4" s="4" t="s">
        <v>92</v>
      </c>
      <c r="E4" s="4" t="s">
        <v>93</v>
      </c>
      <c r="F4" s="4" t="s">
        <v>57</v>
      </c>
    </row>
    <row r="7" spans="1:15" ht="31.5" x14ac:dyDescent="0.25">
      <c r="A7" s="18" t="s">
        <v>103</v>
      </c>
    </row>
    <row r="8" spans="1:15" x14ac:dyDescent="0.25">
      <c r="A8" s="4" t="s">
        <v>94</v>
      </c>
      <c r="B8" s="4" t="s">
        <v>95</v>
      </c>
      <c r="C8" s="23" t="s">
        <v>116</v>
      </c>
      <c r="D8" s="4" t="s">
        <v>104</v>
      </c>
      <c r="E8" s="4" t="s">
        <v>96</v>
      </c>
    </row>
    <row r="9" spans="1:15" x14ac:dyDescent="0.25">
      <c r="A9" s="4">
        <v>173344.5</v>
      </c>
      <c r="B9" s="4">
        <v>123507.45</v>
      </c>
      <c r="C9" s="23">
        <v>0</v>
      </c>
      <c r="D9" s="4">
        <v>5401</v>
      </c>
      <c r="E9" s="26" t="s">
        <v>117</v>
      </c>
    </row>
    <row r="11" spans="1:15" ht="31.5" x14ac:dyDescent="0.25">
      <c r="A11" s="18" t="s">
        <v>97</v>
      </c>
    </row>
    <row r="12" spans="1:15" x14ac:dyDescent="0.25">
      <c r="A12" s="4" t="s">
        <v>53</v>
      </c>
      <c r="B12" s="4" t="s">
        <v>62</v>
      </c>
      <c r="C12" s="23" t="s">
        <v>110</v>
      </c>
      <c r="D12" s="4" t="s">
        <v>54</v>
      </c>
      <c r="E12" s="4" t="s">
        <v>55</v>
      </c>
      <c r="F12" s="4" t="s">
        <v>56</v>
      </c>
      <c r="G12" s="4" t="s">
        <v>91</v>
      </c>
      <c r="H12" s="4" t="s">
        <v>57</v>
      </c>
      <c r="I12" s="4" t="s">
        <v>58</v>
      </c>
      <c r="J12" s="4" t="s">
        <v>63</v>
      </c>
      <c r="K12" s="4" t="s">
        <v>64</v>
      </c>
      <c r="M12" s="23" t="s">
        <v>113</v>
      </c>
      <c r="N12" s="4" t="s">
        <v>84</v>
      </c>
      <c r="O12" s="4" t="s">
        <v>85</v>
      </c>
    </row>
    <row r="13" spans="1:15" x14ac:dyDescent="0.25">
      <c r="A13" s="8">
        <v>46071</v>
      </c>
      <c r="B13" s="4" t="s">
        <v>83</v>
      </c>
      <c r="C13" s="24" t="s">
        <v>100</v>
      </c>
      <c r="D13" s="4" t="s">
        <v>101</v>
      </c>
      <c r="E13" s="4" t="s">
        <v>34</v>
      </c>
      <c r="F13" s="4" t="s">
        <v>17</v>
      </c>
      <c r="G13" s="4">
        <v>2000</v>
      </c>
      <c r="H13" s="4">
        <v>33</v>
      </c>
      <c r="I13" s="4">
        <v>66000</v>
      </c>
      <c r="J13" s="4">
        <v>22000</v>
      </c>
      <c r="K13" s="4">
        <v>0</v>
      </c>
      <c r="M13" s="24" t="s">
        <v>100</v>
      </c>
      <c r="N13" s="10">
        <v>22000</v>
      </c>
      <c r="O13" s="14">
        <v>0.1781269065145463</v>
      </c>
    </row>
    <row r="14" spans="1:15" x14ac:dyDescent="0.25">
      <c r="A14" s="8">
        <v>46066</v>
      </c>
      <c r="B14" s="4" t="s">
        <v>83</v>
      </c>
      <c r="C14" s="25" t="s">
        <v>74</v>
      </c>
      <c r="D14" s="4" t="s">
        <v>16</v>
      </c>
      <c r="E14" s="4" t="s">
        <v>20</v>
      </c>
      <c r="F14" s="4" t="s">
        <v>17</v>
      </c>
      <c r="G14" s="4">
        <v>72</v>
      </c>
      <c r="H14" s="4">
        <v>34.799999999999997</v>
      </c>
      <c r="I14" s="4">
        <v>2505.6</v>
      </c>
      <c r="J14" s="4">
        <v>835.19999999999993</v>
      </c>
      <c r="K14" s="4">
        <v>0</v>
      </c>
      <c r="M14" s="25" t="s">
        <v>74</v>
      </c>
      <c r="N14" s="11">
        <v>93600.95</v>
      </c>
      <c r="O14" s="15">
        <v>0.75785671228739637</v>
      </c>
    </row>
    <row r="15" spans="1:15" x14ac:dyDescent="0.25">
      <c r="A15" s="8">
        <v>46070</v>
      </c>
      <c r="B15" s="19" t="s">
        <v>65</v>
      </c>
      <c r="C15" s="26" t="s">
        <v>76</v>
      </c>
      <c r="D15" s="4" t="s">
        <v>23</v>
      </c>
      <c r="E15" s="4" t="s">
        <v>20</v>
      </c>
      <c r="F15" s="4" t="s">
        <v>24</v>
      </c>
      <c r="G15" s="4">
        <v>502</v>
      </c>
      <c r="H15" s="4">
        <v>31.5</v>
      </c>
      <c r="I15" s="4">
        <v>15813</v>
      </c>
      <c r="J15" s="4">
        <v>7906.5</v>
      </c>
      <c r="K15" s="4">
        <v>7906.5</v>
      </c>
      <c r="M15" s="26" t="s">
        <v>76</v>
      </c>
      <c r="N15" s="12">
        <v>7906.5</v>
      </c>
      <c r="O15" s="16">
        <v>6.401638119805729E-2</v>
      </c>
    </row>
    <row r="16" spans="1:15" x14ac:dyDescent="0.25">
      <c r="A16" s="8">
        <v>46070</v>
      </c>
      <c r="B16" s="19" t="s">
        <v>65</v>
      </c>
      <c r="C16" s="25" t="s">
        <v>74</v>
      </c>
      <c r="D16" s="4" t="s">
        <v>28</v>
      </c>
      <c r="E16" s="4" t="s">
        <v>20</v>
      </c>
      <c r="F16" s="4" t="s">
        <v>24</v>
      </c>
      <c r="G16" s="4">
        <v>5001</v>
      </c>
      <c r="H16" s="4">
        <v>31.5</v>
      </c>
      <c r="I16" s="4">
        <v>157531.5</v>
      </c>
      <c r="J16" s="4">
        <v>78765.75</v>
      </c>
      <c r="K16" s="4">
        <v>78765.75</v>
      </c>
      <c r="M16" t="s">
        <v>60</v>
      </c>
      <c r="N16"/>
      <c r="O16">
        <f>SUBTOTAL(109,Tbl_Summary_PS_Jiani[佔比 (%)])</f>
        <v>1</v>
      </c>
    </row>
    <row r="17" spans="1:11" x14ac:dyDescent="0.25">
      <c r="A17" s="8">
        <v>46063</v>
      </c>
      <c r="B17" s="4" t="s">
        <v>83</v>
      </c>
      <c r="C17" s="25" t="s">
        <v>74</v>
      </c>
      <c r="D17" s="4" t="s">
        <v>39</v>
      </c>
      <c r="E17" s="4" t="s">
        <v>34</v>
      </c>
      <c r="F17" s="4" t="s">
        <v>24</v>
      </c>
      <c r="G17" s="4">
        <v>700</v>
      </c>
      <c r="H17" s="4">
        <v>40</v>
      </c>
      <c r="I17" s="4">
        <v>28000</v>
      </c>
      <c r="J17" s="4">
        <v>14000</v>
      </c>
      <c r="K17" s="4">
        <v>0</v>
      </c>
    </row>
  </sheetData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3FAA-9B11-483B-B891-60557BB1EBCF}">
  <sheetPr codeName="工作表82"/>
  <dimension ref="A3:O15"/>
  <sheetViews>
    <sheetView workbookViewId="0"/>
  </sheetViews>
  <sheetFormatPr defaultRowHeight="23.25" x14ac:dyDescent="0.25"/>
  <cols>
    <col min="1" max="1" width="16.625" style="4" customWidth="1"/>
    <col min="2" max="2" width="23.375" style="4" bestFit="1" customWidth="1"/>
    <col min="3" max="3" width="17.875" style="23" bestFit="1" customWidth="1"/>
    <col min="4" max="4" width="25.75" style="4" bestFit="1" customWidth="1"/>
    <col min="5" max="5" width="25.125" style="4" bestFit="1" customWidth="1"/>
    <col min="6" max="6" width="9.5" style="4" bestFit="1" customWidth="1"/>
    <col min="7" max="7" width="12.25" style="4" bestFit="1" customWidth="1"/>
    <col min="8" max="8" width="9.5" style="4" bestFit="1" customWidth="1"/>
    <col min="9" max="11" width="15.25" style="4" bestFit="1" customWidth="1"/>
    <col min="12" max="12" width="9" style="4"/>
    <col min="13" max="13" width="14.5" style="23" bestFit="1" customWidth="1"/>
    <col min="14" max="14" width="12.875" style="4" bestFit="1" customWidth="1"/>
    <col min="15" max="15" width="14.125" style="4" bestFit="1" customWidth="1"/>
    <col min="16" max="16384" width="9" style="4"/>
  </cols>
  <sheetData>
    <row r="3" spans="1:15" ht="31.5" x14ac:dyDescent="0.25">
      <c r="A3" s="18" t="s">
        <v>102</v>
      </c>
    </row>
    <row r="4" spans="1:15" x14ac:dyDescent="0.25">
      <c r="A4" s="4" t="s">
        <v>89</v>
      </c>
      <c r="B4" s="4" t="s">
        <v>61</v>
      </c>
      <c r="C4" s="23" t="s">
        <v>115</v>
      </c>
      <c r="D4" s="4" t="s">
        <v>92</v>
      </c>
      <c r="E4" s="4" t="s">
        <v>93</v>
      </c>
      <c r="F4" s="4" t="s">
        <v>57</v>
      </c>
    </row>
    <row r="7" spans="1:15" ht="31.5" x14ac:dyDescent="0.25">
      <c r="A7" s="18" t="s">
        <v>103</v>
      </c>
    </row>
    <row r="8" spans="1:15" x14ac:dyDescent="0.25">
      <c r="A8" s="4" t="s">
        <v>94</v>
      </c>
      <c r="B8" s="4" t="s">
        <v>95</v>
      </c>
      <c r="C8" s="23" t="s">
        <v>116</v>
      </c>
      <c r="D8" s="4" t="s">
        <v>104</v>
      </c>
      <c r="E8" s="4" t="s">
        <v>96</v>
      </c>
    </row>
    <row r="9" spans="1:15" x14ac:dyDescent="0.25">
      <c r="A9" s="4">
        <v>0</v>
      </c>
      <c r="B9" s="4">
        <v>22835.200000000001</v>
      </c>
      <c r="C9" s="23">
        <v>0</v>
      </c>
      <c r="D9" s="4">
        <v>5401</v>
      </c>
      <c r="E9" s="25" t="s">
        <v>118</v>
      </c>
    </row>
    <row r="11" spans="1:15" ht="31.5" x14ac:dyDescent="0.25">
      <c r="A11" s="18" t="s">
        <v>97</v>
      </c>
    </row>
    <row r="12" spans="1:15" x14ac:dyDescent="0.25">
      <c r="A12" s="4" t="s">
        <v>53</v>
      </c>
      <c r="B12" s="4" t="s">
        <v>62</v>
      </c>
      <c r="C12" s="23" t="s">
        <v>110</v>
      </c>
      <c r="D12" s="4" t="s">
        <v>54</v>
      </c>
      <c r="E12" s="4" t="s">
        <v>55</v>
      </c>
      <c r="F12" s="4" t="s">
        <v>56</v>
      </c>
      <c r="G12" s="4" t="s">
        <v>91</v>
      </c>
      <c r="H12" s="4" t="s">
        <v>57</v>
      </c>
      <c r="I12" s="4" t="s">
        <v>58</v>
      </c>
      <c r="J12" s="4" t="s">
        <v>63</v>
      </c>
      <c r="K12" s="4" t="s">
        <v>64</v>
      </c>
      <c r="M12" s="23" t="s">
        <v>113</v>
      </c>
      <c r="N12" s="4" t="s">
        <v>84</v>
      </c>
      <c r="O12" s="4" t="s">
        <v>85</v>
      </c>
    </row>
    <row r="13" spans="1:15" x14ac:dyDescent="0.25">
      <c r="A13" s="8">
        <v>46071</v>
      </c>
      <c r="B13" s="4" t="s">
        <v>83</v>
      </c>
      <c r="C13" s="24" t="s">
        <v>100</v>
      </c>
      <c r="D13" s="4" t="s">
        <v>101</v>
      </c>
      <c r="E13" s="4" t="s">
        <v>34</v>
      </c>
      <c r="F13" s="4" t="s">
        <v>17</v>
      </c>
      <c r="G13" s="4">
        <v>2000</v>
      </c>
      <c r="H13" s="4">
        <v>33</v>
      </c>
      <c r="I13" s="4">
        <v>66000</v>
      </c>
      <c r="J13" s="4">
        <v>22000</v>
      </c>
      <c r="K13" s="4">
        <v>0</v>
      </c>
      <c r="M13" s="24" t="s">
        <v>100</v>
      </c>
      <c r="N13" s="10">
        <v>22000</v>
      </c>
      <c r="O13" s="14">
        <v>0.96342488789237668</v>
      </c>
    </row>
    <row r="14" spans="1:15" x14ac:dyDescent="0.25">
      <c r="A14" s="8">
        <v>46066</v>
      </c>
      <c r="B14" s="4" t="s">
        <v>83</v>
      </c>
      <c r="C14" s="25" t="s">
        <v>74</v>
      </c>
      <c r="D14" s="4" t="s">
        <v>16</v>
      </c>
      <c r="E14" s="4" t="s">
        <v>20</v>
      </c>
      <c r="F14" s="4" t="s">
        <v>17</v>
      </c>
      <c r="G14" s="4">
        <v>72</v>
      </c>
      <c r="H14" s="4">
        <v>34.799999999999997</v>
      </c>
      <c r="I14" s="4">
        <v>2505.6</v>
      </c>
      <c r="J14" s="4">
        <v>835.19999999999993</v>
      </c>
      <c r="K14" s="4">
        <v>0</v>
      </c>
      <c r="M14" s="25" t="s">
        <v>74</v>
      </c>
      <c r="N14" s="11">
        <v>835.19999999999993</v>
      </c>
      <c r="O14" s="15">
        <v>3.6575112107623313E-2</v>
      </c>
    </row>
    <row r="15" spans="1:15" x14ac:dyDescent="0.25">
      <c r="M15" t="s">
        <v>60</v>
      </c>
      <c r="N15"/>
      <c r="O15">
        <f>SUBTOTAL(109,Tbl_Summary_PS_Nomad[佔比 (%)])</f>
        <v>1</v>
      </c>
    </row>
  </sheetData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989D3-A4F5-4B56-B226-E668D28EFB72}">
  <sheetPr codeName="工作表84"/>
  <dimension ref="B12:H15"/>
  <sheetViews>
    <sheetView workbookViewId="0"/>
  </sheetViews>
  <sheetFormatPr defaultRowHeight="23.25" x14ac:dyDescent="0.25"/>
  <cols>
    <col min="1" max="1" width="16.625" style="4" customWidth="1"/>
    <col min="2" max="2" width="15.25" style="23" bestFit="1" customWidth="1"/>
    <col min="3" max="3" width="20.625" style="4" bestFit="1" customWidth="1"/>
    <col min="4" max="4" width="19.625" style="4" bestFit="1" customWidth="1"/>
    <col min="5" max="5" width="19.75" style="4" bestFit="1" customWidth="1"/>
    <col min="6" max="6" width="25.75" style="4" bestFit="1" customWidth="1"/>
    <col min="7" max="7" width="19.375" style="4" bestFit="1" customWidth="1"/>
    <col min="8" max="8" width="11.5" style="23" bestFit="1" customWidth="1"/>
    <col min="9" max="16384" width="9" style="4"/>
  </cols>
  <sheetData>
    <row r="12" spans="2:8" x14ac:dyDescent="0.25">
      <c r="B12" s="23" t="s">
        <v>119</v>
      </c>
      <c r="C12" s="4" t="s">
        <v>86</v>
      </c>
      <c r="D12" s="4" t="s">
        <v>67</v>
      </c>
      <c r="E12" s="4" t="s">
        <v>68</v>
      </c>
      <c r="F12" s="4" t="s">
        <v>104</v>
      </c>
      <c r="G12" s="4" t="s">
        <v>87</v>
      </c>
      <c r="H12" s="23" t="s">
        <v>120</v>
      </c>
    </row>
    <row r="13" spans="2:8" x14ac:dyDescent="0.25">
      <c r="B13" s="23" t="s">
        <v>70</v>
      </c>
      <c r="C13" s="4">
        <v>96505.600000000006</v>
      </c>
      <c r="D13" s="4">
        <v>140359.95000000001</v>
      </c>
      <c r="E13" s="4">
        <v>0</v>
      </c>
      <c r="F13" s="4">
        <v>5401</v>
      </c>
      <c r="G13" s="4">
        <v>-38453.350000000006</v>
      </c>
      <c r="H13" s="25" t="s">
        <v>121</v>
      </c>
    </row>
    <row r="14" spans="2:8" x14ac:dyDescent="0.25">
      <c r="B14" s="23" t="s">
        <v>71</v>
      </c>
      <c r="C14" s="4">
        <v>173344.5</v>
      </c>
      <c r="D14" s="4">
        <v>123507.45</v>
      </c>
      <c r="E14" s="4">
        <v>0</v>
      </c>
      <c r="F14" s="4">
        <v>5401</v>
      </c>
      <c r="G14" s="4">
        <v>55238.05</v>
      </c>
      <c r="H14" s="26" t="s">
        <v>122</v>
      </c>
    </row>
    <row r="15" spans="2:8" x14ac:dyDescent="0.25">
      <c r="B15" s="23" t="s">
        <v>72</v>
      </c>
      <c r="C15" s="4">
        <v>0</v>
      </c>
      <c r="D15" s="4">
        <v>22835.200000000001</v>
      </c>
      <c r="E15" s="4">
        <v>0</v>
      </c>
      <c r="F15" s="4">
        <v>5401</v>
      </c>
      <c r="G15" s="4">
        <v>-17434.2</v>
      </c>
      <c r="H15" s="25" t="s">
        <v>121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指揮中心</vt:lpstr>
      <vt:lpstr>Sys_DB_Expenses</vt:lpstr>
      <vt:lpstr>Sys_DB_Wallets</vt:lpstr>
      <vt:lpstr>Raw_Expenses</vt:lpstr>
      <vt:lpstr>Raw_Wallets</vt:lpstr>
      <vt:lpstr>Settings</vt:lpstr>
      <vt:lpstr>Group_Details</vt:lpstr>
      <vt:lpstr>PS_Smile</vt:lpstr>
      <vt:lpstr>PS_Jiani</vt:lpstr>
      <vt:lpstr>PS_Nomad</vt:lpstr>
      <vt:lpstr>Group_Summary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Yang</dc:creator>
  <cp:lastModifiedBy>Smile Yang</cp:lastModifiedBy>
  <cp:lastPrinted>2026-02-18T07:38:55Z</cp:lastPrinted>
  <dcterms:created xsi:type="dcterms:W3CDTF">2026-02-17T06:35:15Z</dcterms:created>
  <dcterms:modified xsi:type="dcterms:W3CDTF">2026-02-18T09:33:22Z</dcterms:modified>
</cp:coreProperties>
</file>